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873075\Downloads\"/>
    </mc:Choice>
  </mc:AlternateContent>
  <xr:revisionPtr revIDLastSave="0" documentId="13_ncr:1_{7E7E0F72-2725-45A4-A645-80F743AF7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Ejecutivo" sheetId="1" r:id="rId1"/>
    <sheet name="Datos Graficas" sheetId="2" r:id="rId2"/>
    <sheet name="Promedios Mensuales" sheetId="3" r:id="rId3"/>
    <sheet name="Explicación Gráficas" sheetId="4" r:id="rId4"/>
    <sheet name="Gestión por Ciudad" sheetId="5" r:id="rId5"/>
    <sheet name="Ranking Demoras" sheetId="6" r:id="rId6"/>
    <sheet name="Detalle Registro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6" l="1"/>
  <c r="E13" i="1"/>
  <c r="A13" i="1"/>
  <c r="E10" i="1"/>
  <c r="A10" i="1"/>
</calcChain>
</file>

<file path=xl/sharedStrings.xml><?xml version="1.0" encoding="utf-8"?>
<sst xmlns="http://schemas.openxmlformats.org/spreadsheetml/2006/main" count="144" uniqueCount="108">
  <si>
    <t>INFORME GERENCIAL DE VIABILIDADES Y MTTV</t>
  </si>
  <si>
    <t>Seguimiento ejecutivo de viabilidades, productividad mensual, tiempos de atención y causas de demora</t>
  </si>
  <si>
    <t>Fecha de generación:</t>
  </si>
  <si>
    <t>Filtros aplicados:</t>
  </si>
  <si>
    <t>Ciudad: Todas | Año: 2026 | Mes: Todos los meses | Estado: Todos | Rango: Sin inicio a Sin fin</t>
  </si>
  <si>
    <t>Viabilidades realizadas</t>
  </si>
  <si>
    <t>MTTV total promedio</t>
  </si>
  <si>
    <t>MTTV efectivo promedio</t>
  </si>
  <si>
    <t>Tiempo muerto promedio</t>
  </si>
  <si>
    <t>Registros con estado final dentro del periodo</t>
  </si>
  <si>
    <t>Días desde ingreso hasta realización de viabilidad</t>
  </si>
  <si>
    <t>MTTV total menos tiempos muertos documentados</t>
  </si>
  <si>
    <t>Promedio de permisos y días no hábiles</t>
  </si>
  <si>
    <t>Resultado de gestión: se analizaron 26 registros y se completaron 26 viabilidades. El MTTV total promedio fue 13.42 días y el MTTV efectivo promedio fue 5.69 días. El tiempo muerto promedio fue 7.73 días. El mes con mayor volumen fue febrero con 7 viabilidades. El mayor MTTV mensual se presentó en julio, con 17.40 días.</t>
  </si>
  <si>
    <t>Mes</t>
  </si>
  <si>
    <t>Ciudad</t>
  </si>
  <si>
    <t>Cantidad</t>
  </si>
  <si>
    <t>Semana</t>
  </si>
  <si>
    <t>Viabilidades</t>
  </si>
  <si>
    <t>MTTV total</t>
  </si>
  <si>
    <t>MTTV efectivo</t>
  </si>
  <si>
    <t>Tiempo muerto</t>
  </si>
  <si>
    <t>MTTV efectivo prom.</t>
  </si>
  <si>
    <t>Ingresos</t>
  </si>
  <si>
    <t>Rango</t>
  </si>
  <si>
    <t>Porcentaje</t>
  </si>
  <si>
    <t>Fuente</t>
  </si>
  <si>
    <t>Días promedio</t>
  </si>
  <si>
    <t>Días no hábiles</t>
  </si>
  <si>
    <t>PROMEDIOS MENSUALES MTTV</t>
  </si>
  <si>
    <t>Indicadores calculados con las viabilidades finalizadas que cumplen los filtros del dashboard.</t>
  </si>
  <si>
    <t>MTTV total prom.</t>
  </si>
  <si>
    <t>Tiempo muerto prom.</t>
  </si>
  <si>
    <t>Prom. días no hábiles</t>
  </si>
  <si>
    <t>Prom. permisos</t>
  </si>
  <si>
    <t>GUÍA DE LECTURA DE LAS GRÁFICAS</t>
  </si>
  <si>
    <t>Gráfica</t>
  </si>
  <si>
    <t>Qué muestra</t>
  </si>
  <si>
    <t>Interpretación gerencial</t>
  </si>
  <si>
    <t>Acción sugerida</t>
  </si>
  <si>
    <t>Viabilidades realizadas por mes</t>
  </si>
  <si>
    <t>Volumen mensual de viabilidades finalizadas.</t>
  </si>
  <si>
    <t>Permite identificar tendencia, estacionalidad y capacidad de atención.</t>
  </si>
  <si>
    <t>Revisar meses con baja productividad.</t>
  </si>
  <si>
    <t>Distribución por ciudad</t>
  </si>
  <si>
    <t>Participación de cada ciudad.</t>
  </si>
  <si>
    <t>Permite comparar carga y aporte territorial.</t>
  </si>
  <si>
    <t>Balancear capacidad entre ciudades.</t>
  </si>
  <si>
    <t>Viabilidades por semana</t>
  </si>
  <si>
    <t>Cantidad semanal de viabilidades.</t>
  </si>
  <si>
    <t>Detecta picos y semanas con baja salida.</t>
  </si>
  <si>
    <t>Revisar cuellos de botella semanales.</t>
  </si>
  <si>
    <t>MTTV por ciudad</t>
  </si>
  <si>
    <t>MTTV total, efectivo y tiempo muerto por ciudad.</t>
  </si>
  <si>
    <t>Permite comparar eficiencia entre sedes.</t>
  </si>
  <si>
    <t>Replicar buenas prácticas de la ciudad con mejor resultado.</t>
  </si>
  <si>
    <t>Ingresos vs MTTV efectivo</t>
  </si>
  <si>
    <t>Demanda mensual frente al tiempo efectivo.</t>
  </si>
  <si>
    <t>Mide si el volumen recibido deteriora el desempeño.</t>
  </si>
  <si>
    <t>Ajustar capacidad cuando aumente la demanda.</t>
  </si>
  <si>
    <t>Promedio en días</t>
  </si>
  <si>
    <t>Cantidad, MTTV total y efectivo por mes.</t>
  </si>
  <si>
    <t>Separa volumen y desempeño temporal.</t>
  </si>
  <si>
    <t>Identificar el componente que explica la demora.</t>
  </si>
  <si>
    <t>Segmentación MTTV total</t>
  </si>
  <si>
    <t>Clientes por rangos de duración total.</t>
  </si>
  <si>
    <t>Identifica concentración y casos críticos.</t>
  </si>
  <si>
    <t>Priorizar rangos altos.</t>
  </si>
  <si>
    <t>Segmentación MTTV efectivo</t>
  </si>
  <si>
    <t>Clientes por rangos efectivos.</t>
  </si>
  <si>
    <t>Muestra demoras controlables por la operación.</t>
  </si>
  <si>
    <t>Reducir tiempos efectivos altos.</t>
  </si>
  <si>
    <t>Fuentes de tiempo muerto</t>
  </si>
  <si>
    <t>Permisos, días no hábiles y total.</t>
  </si>
  <si>
    <t>Identifica el origen principal de las esperas.</t>
  </si>
  <si>
    <t>Gestionar el componente de mayor impacto.</t>
  </si>
  <si>
    <t>RESUMEN DE GESTIÓN POR CIUDAD</t>
  </si>
  <si>
    <t>Días no hábiles prom.</t>
  </si>
  <si>
    <t>Lectura gerencial</t>
  </si>
  <si>
    <t>RANKING DE CLIENTES CON MAYOR MTTV</t>
  </si>
  <si>
    <t>#</t>
  </si>
  <si>
    <t>ID cliente</t>
  </si>
  <si>
    <t>Cambio</t>
  </si>
  <si>
    <t>Cliente</t>
  </si>
  <si>
    <t>Estado</t>
  </si>
  <si>
    <t>Fecha ingreso</t>
  </si>
  <si>
    <t>Fecha viabilidad</t>
  </si>
  <si>
    <t>DETALLE DE REGISTROS MTTV FILTRADOS</t>
  </si>
  <si>
    <t>Dirección</t>
  </si>
  <si>
    <t>Fecha solicitud permisos</t>
  </si>
  <si>
    <t>Fecha aprobación permisos</t>
  </si>
  <si>
    <t>Fecha entrega</t>
  </si>
  <si>
    <t>Tiempo muerto permisos</t>
  </si>
  <si>
    <t>Tiempo muerto total</t>
  </si>
  <si>
    <t>MTTV VILLAVICENCIO</t>
  </si>
  <si>
    <t>MTTV EFECTIVO VILLAVICENCIO</t>
  </si>
  <si>
    <t>MTTV IBAGUÉ</t>
  </si>
  <si>
    <t>MTTV EFECTIVO IBAGUÉ</t>
  </si>
  <si>
    <t>Muestra el volumen mensual de viabilidades finalizadas y facilita identificar tendencia, estacionalidad y capacidad de atención.</t>
  </si>
  <si>
    <t>Compara la participación de Villavicencio e Ibagué en el total de viabilidades realizadas.</t>
  </si>
  <si>
    <t>Permite revisar la regularidad semanal y detectar picos o semanas con baja salida.</t>
  </si>
  <si>
    <t>Compara MTTV total, MTTV efectivo y tiempo muerto entre ciudades.</t>
  </si>
  <si>
    <t>Relaciona la demanda recibida con el tiempo efectivo promedio requerido para realizar las viabilidades.</t>
  </si>
  <si>
    <t>Compara volumen, MTTV total y MTTV efectivo por mes.</t>
  </si>
  <si>
    <t>Distribuye los clientes por rangos de MTTV total para identificar concentración y casos críticos.</t>
  </si>
  <si>
    <t>Distribuye los clientes por rangos de MTTV efectivo, descontando tiempos muertos.</t>
  </si>
  <si>
    <t>Compara permisos, días no hábiles y total de tiempo muerto promedio.</t>
  </si>
  <si>
    <t>Visualiza el compartamieto mes a mes sobre el MTTV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</si>
</sst>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1"/>
      <color rgb="FF667085"/>
      <name val="Carlito"/>
    </font>
    <font>
      <b/>
      <sz val="11"/>
      <color rgb="FFFFFFFF"/>
      <name val="Carlito"/>
    </font>
    <font>
      <b/>
      <sz val="18"/>
      <color rgb="FF17212F"/>
      <name val="Carlito"/>
    </font>
    <font>
      <sz val="9"/>
      <color rgb="FF667085"/>
      <name val="Carlito"/>
    </font>
    <font>
      <b/>
      <sz val="14"/>
      <color rgb="FF667085"/>
      <name val="Carlito"/>
    </font>
    <font>
      <b/>
      <sz val="18"/>
      <color rgb="FF667085"/>
      <name val="Carlito"/>
    </font>
    <font>
      <sz val="9"/>
      <name val="Carlito"/>
    </font>
    <font>
      <b/>
      <sz val="9"/>
      <color rgb="FF17212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56002"/>
      </patternFill>
    </fill>
    <fill>
      <patternFill patternType="solid">
        <fgColor rgb="FFEBEBEB"/>
      </patternFill>
    </fill>
    <fill>
      <patternFill patternType="solid">
        <fgColor rgb="FFFFF1E8"/>
      </patternFill>
    </fill>
    <fill>
      <patternFill patternType="solid">
        <fgColor rgb="FFF7F7F7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2" fontId="4" fillId="3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/>
    <xf numFmtId="0" fontId="9" fillId="3" borderId="0" xfId="0" applyFont="1" applyFill="1"/>
    <xf numFmtId="2" fontId="0" fillId="0" borderId="0" xfId="0" applyNumberFormat="1" applyAlignment="1">
      <alignment wrapText="1"/>
    </xf>
    <xf numFmtId="14" fontId="4" fillId="3" borderId="5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wrapText="1"/>
    </xf>
    <xf numFmtId="14" fontId="3" fillId="2" borderId="0" xfId="0" applyNumberFormat="1" applyFont="1" applyFill="1" applyAlignment="1">
      <alignment horizontal="center" wrapText="1"/>
    </xf>
    <xf numFmtId="2" fontId="0" fillId="0" borderId="0" xfId="0" applyNumberFormat="1"/>
    <xf numFmtId="0" fontId="5" fillId="5" borderId="0" xfId="0" applyFont="1" applyFill="1" applyAlignment="1">
      <alignment vertical="top" wrapText="1"/>
    </xf>
    <xf numFmtId="2" fontId="7" fillId="4" borderId="0" xfId="0" applyNumberFormat="1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6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6699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Viabilidades realizadas por 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Viabilidades realizadas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Graficas'!$A$2:$A$13</c:f>
              <c:numCache>
                <c:formatCode>General</c:formatCode>
                <c:ptCount val="12"/>
              </c:numCache>
            </c:numRef>
          </c:cat>
          <c:val>
            <c:numRef>
              <c:f>'Datos Graficas'!$B$2:$B$13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B60F-462C-986F-FAC422652A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600"/>
            </a:pPr>
            <a:r>
              <a:rPr lang="es-419" sz="1600"/>
              <a:t>DISTRIBUCION</a:t>
            </a:r>
            <a:r>
              <a:rPr lang="es-419" sz="1600" baseline="0"/>
              <a:t> POR CIUDAD</a:t>
            </a:r>
            <a:endParaRPr lang="es-419" sz="1600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Cantidad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'Datos Graficas'!$D$2:$D$3</c:f>
              <c:numCache>
                <c:formatCode>General</c:formatCode>
                <c:ptCount val="2"/>
              </c:numCache>
            </c:numRef>
          </c:cat>
          <c:val>
            <c:numRef>
              <c:f>'Datos Graficas'!$E$2:$E$3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907F-4865-9616-E23E603A9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Viabilidades por semana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Viabilidades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Graficas'!$G$2:$G$54</c:f>
              <c:numCache>
                <c:formatCode>General</c:formatCode>
                <c:ptCount val="53"/>
              </c:numCache>
            </c:numRef>
          </c:cat>
          <c:val>
            <c:numRef>
              <c:f>'Datos Graficas'!$H$2:$H$54</c:f>
              <c:numCache>
                <c:formatCode>General</c:formatCode>
                <c:ptCount val="53"/>
              </c:numCache>
            </c:numRef>
          </c:val>
          <c:extLst>
            <c:ext xmlns:c16="http://schemas.microsoft.com/office/drawing/2014/chart" uri="{C3380CC4-5D6E-409C-BE32-E72D297353CC}">
              <c16:uniqueId val="{00000000-9E75-49CC-975F-21617FC71D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800"/>
            </a:pPr>
            <a:r>
              <a:rPr lang="es-419" sz="1800"/>
              <a:t>MTTV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MTTV total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Graficas'!$J$2:$J$3</c:f>
              <c:numCache>
                <c:formatCode>General</c:formatCode>
                <c:ptCount val="2"/>
              </c:numCache>
            </c:numRef>
          </c:cat>
          <c:val>
            <c:numRef>
              <c:f>'Datos Graficas'!$K$2:$K$3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383E-4EF0-BAF7-3580EE3C201C}"/>
            </c:ext>
          </c:extLst>
        </c:ser>
        <c:ser>
          <c:idx val="1"/>
          <c:order val="1"/>
          <c:tx>
            <c:v>MTTV efectivo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Graficas'!$J$2:$J$3</c:f>
              <c:numCache>
                <c:formatCode>General</c:formatCode>
                <c:ptCount val="2"/>
              </c:numCache>
            </c:numRef>
          </c:cat>
          <c:val>
            <c:numRef>
              <c:f>'Datos Graficas'!$L$2:$L$3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383E-4EF0-BAF7-3580EE3C201C}"/>
            </c:ext>
          </c:extLst>
        </c:ser>
        <c:ser>
          <c:idx val="2"/>
          <c:order val="2"/>
          <c:tx>
            <c:v>Tiempo muerto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Graficas'!$J$2:$J$3</c:f>
              <c:numCache>
                <c:formatCode>General</c:formatCode>
                <c:ptCount val="2"/>
              </c:numCache>
            </c:numRef>
          </c:cat>
          <c:val>
            <c:numRef>
              <c:f>'Datos Graficas'!$M$2:$M$3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383E-4EF0-BAF7-3580EE3C20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Ingresos vs MTTV efectivo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MTTV efectivo promedio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Graficas'!$O$2:$O$13</c:f>
              <c:numCache>
                <c:formatCode>General</c:formatCode>
                <c:ptCount val="12"/>
              </c:numCache>
            </c:numRef>
          </c:cat>
          <c:val>
            <c:numRef>
              <c:f>'Datos Graficas'!$P$2:$P$13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481-40FE-B6D7-F46DB7F5918F}"/>
            </c:ext>
          </c:extLst>
        </c:ser>
        <c:ser>
          <c:idx val="1"/>
          <c:order val="1"/>
          <c:tx>
            <c:v>Ingresos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Graficas'!$O$2:$O$13</c:f>
              <c:numCache>
                <c:formatCode>General</c:formatCode>
                <c:ptCount val="12"/>
              </c:numCache>
            </c:numRef>
          </c:cat>
          <c:val>
            <c:numRef>
              <c:f>'Datos Graficas'!$Q$2:$Q$13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481-40FE-B6D7-F46DB7F59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s-419"/>
              <a:t>PROMEDIOS MENSUALES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 viabilidades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Graficas'!$S$2:$S$13</c:f>
              <c:numCache>
                <c:formatCode>General</c:formatCode>
                <c:ptCount val="12"/>
              </c:numCache>
            </c:numRef>
          </c:cat>
          <c:val>
            <c:numRef>
              <c:f>'Datos Graficas'!$T$2:$T$13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286-4FC8-9CF2-1DBB7C9DEA82}"/>
            </c:ext>
          </c:extLst>
        </c:ser>
        <c:ser>
          <c:idx val="1"/>
          <c:order val="1"/>
          <c:tx>
            <c:v>MTTV total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Graficas'!$S$2:$S$13</c:f>
              <c:numCache>
                <c:formatCode>General</c:formatCode>
                <c:ptCount val="12"/>
              </c:numCache>
            </c:numRef>
          </c:cat>
          <c:val>
            <c:numRef>
              <c:f>'Datos Graficas'!$U$2:$U$13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286-4FC8-9CF2-1DBB7C9DEA82}"/>
            </c:ext>
          </c:extLst>
        </c:ser>
        <c:ser>
          <c:idx val="2"/>
          <c:order val="2"/>
          <c:tx>
            <c:v>MTTV efectivo</c:v>
          </c:tx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Graficas'!$S$2:$S$13</c:f>
              <c:numCache>
                <c:formatCode>General</c:formatCode>
                <c:ptCount val="12"/>
              </c:numCache>
            </c:numRef>
          </c:cat>
          <c:val>
            <c:numRef>
              <c:f>'Datos Graficas'!$V$2:$V$13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286-4FC8-9CF2-1DBB7C9DE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419" sz="1600"/>
              <a:t>Segmentación MTTV total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solidFill>
                <a:srgbClr val="FF3300"/>
              </a:solidFill>
            </a:ln>
          </c:spPr>
          <c:invertIfNegative val="1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Graficas'!$X$2:$X$8</c:f>
              <c:numCache>
                <c:formatCode>General</c:formatCode>
                <c:ptCount val="7"/>
              </c:numCache>
            </c:numRef>
          </c:cat>
          <c:val>
            <c:numRef>
              <c:f>'Datos Graficas'!$Y$2:$Y$8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7765-4EA5-8111-84FB01655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v>Porcentaje</c:v>
          </c:tx>
          <c:dLbls>
            <c:dLbl>
              <c:idx val="0"/>
              <c:layout>
                <c:manualLayout>
                  <c:x val="1.5983467316529894E-2"/>
                  <c:y val="-4.6222227614141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F5-409E-AA55-D407D924758A}"/>
                </c:ext>
              </c:extLst>
            </c:dLbl>
            <c:dLbl>
              <c:idx val="1"/>
              <c:layout>
                <c:manualLayout>
                  <c:x val="1.5983467316529831E-2"/>
                  <c:y val="3.8518523011784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F5-409E-AA55-D407D924758A}"/>
                </c:ext>
              </c:extLst>
            </c:dLbl>
            <c:dLbl>
              <c:idx val="2"/>
              <c:layout>
                <c:manualLayout>
                  <c:x val="9.031595073330392E-3"/>
                  <c:y val="-1.5407409204713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5-409E-AA55-D407D924758A}"/>
                </c:ext>
              </c:extLst>
            </c:dLbl>
            <c:dLbl>
              <c:idx val="3"/>
              <c:layout>
                <c:manualLayout>
                  <c:x val="1.1348885821063552E-2"/>
                  <c:y val="-6.5481489120033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5-409E-AA55-D407D924758A}"/>
                </c:ext>
              </c:extLst>
            </c:dLbl>
            <c:dLbl>
              <c:idx val="4"/>
              <c:layout>
                <c:manualLayout>
                  <c:x val="1.3666176568796713E-2"/>
                  <c:y val="-6.16296368188553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F5-409E-AA55-D407D924758A}"/>
                </c:ext>
              </c:extLst>
            </c:dLbl>
            <c:dLbl>
              <c:idx val="5"/>
              <c:layout>
                <c:manualLayout>
                  <c:x val="-2.3756791760224999E-4"/>
                  <c:y val="-0.119407421336532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F5-409E-AA55-D407D924758A}"/>
                </c:ext>
              </c:extLst>
            </c:dLbl>
            <c:dLbl>
              <c:idx val="6"/>
              <c:layout>
                <c:manualLayout>
                  <c:x val="-2.5548586653354106E-3"/>
                  <c:y val="-6.5481489120033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F5-409E-AA55-D407D924758A}"/>
                </c:ext>
              </c:extLst>
            </c:dLbl>
            <c:numFmt formatCode="#,##0.00" sourceLinked="0"/>
            <c:spPr>
              <a:solidFill>
                <a:srgbClr val="FF3300"/>
              </a:solidFill>
              <a:ln>
                <a:noFill/>
              </a:ln>
              <a:effectLst>
                <a:softEdge rad="38100"/>
              </a:effectLst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Graficas'!$X$2:$X$8</c:f>
              <c:numCache>
                <c:formatCode>General</c:formatCode>
                <c:ptCount val="7"/>
              </c:numCache>
            </c:numRef>
          </c:cat>
          <c:val>
            <c:numRef>
              <c:f>'Datos Graficas'!$Z$2:$Z$8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5-4EA5-8111-84FB0165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393856"/>
        <c:axId val="2022226736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2022226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764393856"/>
        <c:crosses val="max"/>
        <c:crossBetween val="between"/>
      </c:valAx>
      <c:catAx>
        <c:axId val="76439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222673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419" sz="1600"/>
              <a:t>Segmentación MTTV efectivo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640946264591859E-2"/>
          <c:y val="0.15265861215031928"/>
          <c:w val="0.87989101071993103"/>
          <c:h val="0.61107028417267828"/>
        </c:manualLayout>
      </c:layout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dLbls>
            <c:numFmt formatCode="General" sourceLinked="0"/>
            <c:spPr>
              <a:solidFill>
                <a:srgbClr val="006699"/>
              </a:solidFill>
              <a:ln>
                <a:noFill/>
              </a:ln>
              <a:effectLst>
                <a:softEdge rad="38100"/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Graficas'!$AB$2:$AB$8</c:f>
              <c:numCache>
                <c:formatCode>General</c:formatCode>
                <c:ptCount val="7"/>
              </c:numCache>
            </c:numRef>
          </c:cat>
          <c:val>
            <c:numRef>
              <c:f>'Datos Graficas'!$AC$2:$AC$8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BA51-4958-A215-704234459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v>Porcentaje</c:v>
          </c:tx>
          <c:dLbls>
            <c:dLbl>
              <c:idx val="0"/>
              <c:layout>
                <c:manualLayout>
                  <c:x val="9.0315934253912093E-3"/>
                  <c:y val="-9.5920827753960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A9-4B49-84EB-455E3421B409}"/>
                </c:ext>
              </c:extLst>
            </c:dLbl>
            <c:dLbl>
              <c:idx val="1"/>
              <c:layout>
                <c:manualLayout>
                  <c:x val="2.2935335374860026E-2"/>
                  <c:y val="-2.273563403157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A9-4B49-84EB-455E3421B409}"/>
                </c:ext>
              </c:extLst>
            </c:dLbl>
            <c:dLbl>
              <c:idx val="2"/>
              <c:layout>
                <c:manualLayout>
                  <c:x val="4.3970127755682421E-3"/>
                  <c:y val="-9.3859935125101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A9-4B49-84EB-455E3421B409}"/>
                </c:ext>
              </c:extLst>
            </c:dLbl>
            <c:dLbl>
              <c:idx val="3"/>
              <c:layout>
                <c:manualLayout>
                  <c:x val="1.1354175200650884E-2"/>
                  <c:y val="-0.172972735254912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A9-4B49-84EB-455E3421B409}"/>
                </c:ext>
              </c:extLst>
            </c:dLbl>
            <c:dLbl>
              <c:idx val="4"/>
              <c:layout>
                <c:manualLayout>
                  <c:x val="-9.5067291739005955E-3"/>
                  <c:y val="-8.61562305227449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A9-4B49-84EB-455E3421B409}"/>
                </c:ext>
              </c:extLst>
            </c:dLbl>
            <c:dLbl>
              <c:idx val="5"/>
              <c:layout>
                <c:manualLayout>
                  <c:x val="-2.3756787425470378E-4"/>
                  <c:y val="-7.4600673619209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A9-4B49-84EB-455E3421B409}"/>
                </c:ext>
              </c:extLst>
            </c:dLbl>
            <c:dLbl>
              <c:idx val="6"/>
              <c:layout>
                <c:manualLayout>
                  <c:x val="-1.4141309823723542E-2"/>
                  <c:y val="-7.4600673619209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A9-4B49-84EB-455E3421B409}"/>
                </c:ext>
              </c:extLst>
            </c:dLbl>
            <c:numFmt formatCode="#,##0.00" sourceLinked="0"/>
            <c:spPr>
              <a:solidFill>
                <a:srgbClr val="FF3300"/>
              </a:solidFill>
              <a:ln>
                <a:noFill/>
              </a:ln>
              <a:effectLst>
                <a:softEdge rad="25400"/>
              </a:effectLst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Graficas'!$AB$2:$AB$8</c:f>
              <c:numCache>
                <c:formatCode>General</c:formatCode>
                <c:ptCount val="7"/>
              </c:numCache>
            </c:numRef>
          </c:cat>
          <c:val>
            <c:numRef>
              <c:f>'Datos Graficas'!$AD$2:$AD$8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1-4958-A215-704234459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052480"/>
        <c:axId val="2022243536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20222435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724052480"/>
        <c:crosses val="max"/>
        <c:crossBetween val="between"/>
      </c:valAx>
      <c:catAx>
        <c:axId val="72405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224353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Fuentes de tiempo muerto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Días promedio</c:v>
          </c:tx>
          <c:invertIfNegative val="1"/>
          <c:dPt>
            <c:idx val="1"/>
            <c:invertIfNegative val="1"/>
            <c:bubble3D val="0"/>
            <c:spPr>
              <a:solidFill>
                <a:srgbClr val="FF3300"/>
              </a:solidFill>
            </c:spPr>
            <c:extLst>
              <c:ext xmlns:c16="http://schemas.microsoft.com/office/drawing/2014/chart" uri="{C3380CC4-5D6E-409C-BE32-E72D297353CC}">
                <c16:uniqueId val="{00000000-78FF-41FF-ABFB-A3A31DCC517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8FF-41FF-ABFB-A3A31DCC517A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Graficas'!$AF$2:$AF$4</c:f>
              <c:numCache>
                <c:formatCode>General</c:formatCode>
                <c:ptCount val="3"/>
              </c:numCache>
            </c:numRef>
          </c:cat>
          <c:val>
            <c:numRef>
              <c:f>'Datos Graficas'!$AG$2:$AG$4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B71-4F98-ACBF-B5EBC81286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HISTORICO MTTV TOTAL-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MTTV total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'Datos Graficas'!$S$2:$S$13</c:f>
              <c:numCache>
                <c:formatCode>General</c:formatCode>
                <c:ptCount val="12"/>
              </c:numCache>
            </c:numRef>
          </c:cat>
          <c:val>
            <c:numRef>
              <c:f>'Datos Graficas'!$U$2:$U$13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9-4DB9-A1FC-B557365841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8650112"/>
        <c:axId val="48672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Cantidad viabilidades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419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'Datos Graficas'!$S$2:$S$13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'Datos Graficas'!$T$2:$T$13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529-4DB9-A1FC-B557365841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MTTV efectivo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 cap="flat" cmpd="sng" algn="ctr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dLbls>
                  <c:numFmt formatCode="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419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'Datos Graficas'!$S$2:$S$13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'Datos Graficas'!$V$2:$V$13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529-4DB9-A1FC-B55736584132}"/>
                  </c:ext>
                </c:extLst>
              </c15:ser>
            </c15:filteredLineSeries>
          </c:ext>
        </c:extLst>
      </c:lineChart>
      <c:catAx>
        <c:axId val="48650112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6501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419"/>
              <a:t>HISTORICO</a:t>
            </a:r>
            <a:r>
              <a:rPr lang="es-419" baseline="0"/>
              <a:t> MTTV EFECTIVO-</a:t>
            </a:r>
            <a:r>
              <a:rPr lang="es-419"/>
              <a:t>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MTTV total</c:v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chemeClr val="accent1">
                  <a:lumMod val="75000"/>
                </a:schemeClr>
              </a:solidFill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Graficas'!$S$2:$S$13</c:f>
              <c:numCache>
                <c:formatCode>General</c:formatCode>
                <c:ptCount val="12"/>
              </c:numCache>
            </c:numRef>
          </c:cat>
          <c:val>
            <c:numRef>
              <c:f>'Datos Graficas'!$U$2:$U$13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D-40AF-8203-E99644FC2D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Cantidad viabilidades</c:v>
                </c:tx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vert="horz" wrap="square" lIns="38100" tIns="19050" rIns="38100" bIns="19050" anchor="ctr">
                      <a:spAutoFit/>
                    </a:bodyPr>
                    <a:lstStyle/>
                    <a:p>
                      <a:pPr>
                        <a:defRPr/>
                      </a:pPr>
                      <a:endParaRPr lang="es-419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'Datos Graficas'!$S$2:$S$13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'Datos Graficas'!$T$2:$T$13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84D-40AF-8203-E99644FC2DC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MTTV efectivo</c:v>
                </c:tx>
                <c:dLbls>
                  <c:numFmt formatCode="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vert="horz" wrap="square" lIns="38100" tIns="19050" rIns="38100" bIns="19050" anchor="ctr">
                      <a:spAutoFit/>
                    </a:bodyPr>
                    <a:lstStyle/>
                    <a:p>
                      <a:pPr>
                        <a:defRPr/>
                      </a:pPr>
                      <a:endParaRPr lang="es-419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'Datos Graficas'!$S$2:$S$13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Graficas'!$V$2:$V$13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84D-40AF-8203-E99644FC2DCE}"/>
                  </c:ext>
                </c:extLst>
              </c15:ser>
            </c15:filteredLineSeries>
          </c:ext>
        </c:extLst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0</xdr:colOff>
      <xdr:row>55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4</xdr:col>
      <xdr:colOff>0</xdr:colOff>
      <xdr:row>75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75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4</xdr:col>
      <xdr:colOff>0</xdr:colOff>
      <xdr:row>95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77</xdr:row>
      <xdr:rowOff>0</xdr:rowOff>
    </xdr:from>
    <xdr:to>
      <xdr:col>8</xdr:col>
      <xdr:colOff>0</xdr:colOff>
      <xdr:row>95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97</xdr:row>
      <xdr:rowOff>0</xdr:rowOff>
    </xdr:from>
    <xdr:to>
      <xdr:col>4</xdr:col>
      <xdr:colOff>0</xdr:colOff>
      <xdr:row>115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</xdr:colOff>
      <xdr:row>117</xdr:row>
      <xdr:rowOff>161924</xdr:rowOff>
    </xdr:from>
    <xdr:to>
      <xdr:col>7</xdr:col>
      <xdr:colOff>1323975</xdr:colOff>
      <xdr:row>136</xdr:row>
      <xdr:rowOff>66674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81F33B25-9121-4B76-8D52-B73C5F522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28575</xdr:colOff>
      <xdr:row>97</xdr:row>
      <xdr:rowOff>28575</xdr:rowOff>
    </xdr:from>
    <xdr:to>
      <xdr:col>7</xdr:col>
      <xdr:colOff>1343025</xdr:colOff>
      <xdr:row>115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16E98EE2-AA41-456F-84FF-F24D8A3AB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showGridLines="0" tabSelected="1" topLeftCell="A2" zoomScale="130" zoomScaleNormal="130" workbookViewId="0">
      <selection activeCell="E6" sqref="E6"/>
    </sheetView>
  </sheetViews>
  <sheetFormatPr baseColWidth="10" defaultColWidth="9" defaultRowHeight="14.25"/>
  <cols>
    <col min="1" max="8" width="18" customWidth="1"/>
  </cols>
  <sheetData>
    <row r="1" spans="1:8" ht="30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>
      <c r="A2" s="26" t="s">
        <v>1</v>
      </c>
      <c r="B2" s="26"/>
      <c r="C2" s="26"/>
      <c r="D2" s="26"/>
      <c r="E2" s="26"/>
      <c r="F2" s="26"/>
      <c r="G2" s="26"/>
      <c r="H2" s="26"/>
    </row>
    <row r="3" spans="1:8" ht="28.5">
      <c r="A3" s="1" t="s">
        <v>2</v>
      </c>
      <c r="B3" s="1">
        <v>46246.580440289355</v>
      </c>
      <c r="C3" s="1"/>
      <c r="D3" s="1" t="s">
        <v>3</v>
      </c>
      <c r="E3" s="27" t="s">
        <v>4</v>
      </c>
      <c r="F3" s="27"/>
      <c r="G3" s="27"/>
      <c r="H3" s="27"/>
    </row>
    <row r="5" spans="1:8" ht="30">
      <c r="A5" s="4" t="s">
        <v>5</v>
      </c>
      <c r="B5" s="5" t="s">
        <v>6</v>
      </c>
      <c r="C5" s="5" t="s">
        <v>7</v>
      </c>
      <c r="D5" s="6" t="s">
        <v>8</v>
      </c>
    </row>
    <row r="6" spans="1:8" ht="23.25">
      <c r="A6" s="7"/>
      <c r="B6" s="3"/>
      <c r="C6" s="3"/>
      <c r="D6" s="8"/>
    </row>
    <row r="7" spans="1:8" ht="36">
      <c r="A7" s="9" t="s">
        <v>9</v>
      </c>
      <c r="B7" s="10" t="s">
        <v>10</v>
      </c>
      <c r="C7" s="10" t="s">
        <v>11</v>
      </c>
      <c r="D7" s="11" t="s">
        <v>12</v>
      </c>
    </row>
    <row r="8" spans="1:8" ht="18">
      <c r="A8" s="23" t="s">
        <v>94</v>
      </c>
      <c r="B8" s="23"/>
      <c r="C8" s="23"/>
      <c r="D8" s="23"/>
      <c r="E8" s="23"/>
      <c r="F8" s="23"/>
      <c r="G8" s="23"/>
      <c r="H8" s="23"/>
    </row>
    <row r="9" spans="1:8" ht="15">
      <c r="A9" s="24" t="s">
        <v>94</v>
      </c>
      <c r="B9" s="24"/>
      <c r="C9" s="24"/>
      <c r="D9" s="24"/>
      <c r="E9" s="24" t="s">
        <v>95</v>
      </c>
      <c r="F9" s="24"/>
      <c r="G9" s="24"/>
      <c r="H9" s="24"/>
    </row>
    <row r="10" spans="1:8" ht="23.25">
      <c r="A10" s="21">
        <f>IFERROR(VLOOKUP("VILLAVICENCIO",'Gestión por Ciudad'!$A$4:$F$10,3,FALSE),0)</f>
        <v>0</v>
      </c>
      <c r="B10" s="21"/>
      <c r="C10" s="21"/>
      <c r="D10" s="21"/>
      <c r="E10" s="21">
        <f>IFERROR(VLOOKUP("VILLAVICENCIO",'Gestión por Ciudad'!$A$4:$F$10,4,FALSE),0)</f>
        <v>0</v>
      </c>
      <c r="F10" s="21"/>
      <c r="G10" s="21"/>
      <c r="H10" s="21"/>
    </row>
    <row r="11" spans="1:8" ht="18">
      <c r="A11" s="23" t="s">
        <v>96</v>
      </c>
      <c r="B11" s="23"/>
      <c r="C11" s="23"/>
      <c r="D11" s="23"/>
      <c r="E11" s="23"/>
      <c r="F11" s="23"/>
      <c r="G11" s="23"/>
      <c r="H11" s="23"/>
    </row>
    <row r="12" spans="1:8" ht="15">
      <c r="A12" s="24" t="s">
        <v>96</v>
      </c>
      <c r="B12" s="24"/>
      <c r="C12" s="24"/>
      <c r="D12" s="24"/>
      <c r="E12" s="24" t="s">
        <v>97</v>
      </c>
      <c r="F12" s="24"/>
      <c r="G12" s="24"/>
      <c r="H12" s="24"/>
    </row>
    <row r="13" spans="1:8" ht="23.25">
      <c r="A13" s="21">
        <f>IFERROR(VLOOKUP("IBAGUE",'Gestión por Ciudad'!$A$4:$F$10,3,FALSE),0)</f>
        <v>0</v>
      </c>
      <c r="B13" s="21"/>
      <c r="C13" s="21"/>
      <c r="D13" s="21"/>
      <c r="E13" s="21">
        <f>IFERROR(VLOOKUP("IBAGUE",'Gestión por Ciudad'!$A$4:$F$10,4,FALSE),0)</f>
        <v>0</v>
      </c>
      <c r="F13" s="21"/>
      <c r="G13" s="21"/>
      <c r="H13" s="21"/>
    </row>
    <row r="15" spans="1:8">
      <c r="A15" s="22" t="s">
        <v>13</v>
      </c>
      <c r="B15" s="22"/>
      <c r="C15" s="22"/>
      <c r="D15" s="22"/>
      <c r="E15" s="22"/>
      <c r="F15" s="22"/>
      <c r="G15" s="22"/>
      <c r="H15" s="22"/>
    </row>
    <row r="16" spans="1:8">
      <c r="A16" s="22"/>
      <c r="B16" s="22"/>
      <c r="C16" s="22"/>
      <c r="D16" s="22"/>
      <c r="E16" s="22"/>
      <c r="F16" s="22"/>
      <c r="G16" s="22"/>
      <c r="H16" s="22"/>
    </row>
    <row r="36" spans="1:8">
      <c r="A36" s="20" t="s">
        <v>98</v>
      </c>
      <c r="B36" s="20"/>
      <c r="C36" s="20"/>
      <c r="D36" s="20"/>
      <c r="E36" s="20" t="s">
        <v>99</v>
      </c>
      <c r="F36" s="20"/>
      <c r="G36" s="20"/>
      <c r="H36" s="20"/>
    </row>
    <row r="37" spans="1:8">
      <c r="A37" s="20"/>
      <c r="B37" s="20"/>
      <c r="C37" s="20"/>
      <c r="D37" s="20"/>
      <c r="E37" s="20"/>
      <c r="F37" s="20"/>
      <c r="G37" s="20"/>
      <c r="H37" s="20"/>
    </row>
    <row r="56" spans="1:8">
      <c r="A56" s="20" t="s">
        <v>100</v>
      </c>
      <c r="B56" s="20"/>
      <c r="C56" s="20"/>
      <c r="D56" s="20"/>
      <c r="E56" s="20" t="s">
        <v>101</v>
      </c>
      <c r="F56" s="20"/>
      <c r="G56" s="20"/>
      <c r="H56" s="20"/>
    </row>
    <row r="57" spans="1:8">
      <c r="A57" s="20"/>
      <c r="B57" s="20"/>
      <c r="C57" s="20"/>
      <c r="D57" s="20"/>
      <c r="E57" s="20"/>
      <c r="F57" s="20"/>
      <c r="G57" s="20"/>
      <c r="H57" s="20"/>
    </row>
    <row r="76" spans="1:8">
      <c r="A76" s="20" t="s">
        <v>102</v>
      </c>
      <c r="B76" s="20"/>
      <c r="C76" s="20"/>
      <c r="D76" s="20"/>
      <c r="E76" s="20" t="s">
        <v>103</v>
      </c>
      <c r="F76" s="20"/>
      <c r="G76" s="20"/>
      <c r="H76" s="20"/>
    </row>
    <row r="77" spans="1:8">
      <c r="A77" s="20"/>
      <c r="B77" s="20"/>
      <c r="C77" s="20"/>
      <c r="D77" s="20"/>
      <c r="E77" s="20"/>
      <c r="F77" s="20"/>
      <c r="G77" s="20"/>
      <c r="H77" s="20"/>
    </row>
    <row r="96" spans="1:8">
      <c r="A96" s="20" t="s">
        <v>104</v>
      </c>
      <c r="B96" s="20"/>
      <c r="C96" s="20"/>
      <c r="D96" s="20"/>
      <c r="E96" s="20" t="s">
        <v>105</v>
      </c>
      <c r="F96" s="20"/>
      <c r="G96" s="20"/>
      <c r="H96" s="20"/>
    </row>
    <row r="97" spans="1:8">
      <c r="A97" s="20"/>
      <c r="B97" s="20"/>
      <c r="C97" s="20"/>
      <c r="D97" s="20"/>
      <c r="E97" s="20"/>
      <c r="F97" s="20"/>
      <c r="G97" s="20"/>
      <c r="H97" s="20"/>
    </row>
    <row r="116" spans="1:8">
      <c r="A116" s="20" t="s">
        <v>106</v>
      </c>
      <c r="B116" s="20"/>
      <c r="C116" s="20"/>
      <c r="D116" s="20"/>
      <c r="E116" s="20" t="s">
        <v>107</v>
      </c>
      <c r="F116" s="20"/>
      <c r="G116" s="20"/>
      <c r="H116" s="20"/>
    </row>
    <row r="117" spans="1:8">
      <c r="A117" s="20"/>
      <c r="B117" s="20"/>
      <c r="C117" s="20"/>
      <c r="D117" s="20"/>
      <c r="E117" s="20"/>
      <c r="F117" s="20"/>
      <c r="G117" s="20"/>
      <c r="H117" s="20"/>
    </row>
  </sheetData>
  <mergeCells count="24">
    <mergeCell ref="A1:H1"/>
    <mergeCell ref="A2:H2"/>
    <mergeCell ref="E3:H3"/>
    <mergeCell ref="A8:H8"/>
    <mergeCell ref="A9:D9"/>
    <mergeCell ref="E9:H9"/>
    <mergeCell ref="A10:D10"/>
    <mergeCell ref="E10:H10"/>
    <mergeCell ref="A11:H11"/>
    <mergeCell ref="A12:D12"/>
    <mergeCell ref="E12:H12"/>
    <mergeCell ref="A13:D13"/>
    <mergeCell ref="E13:H13"/>
    <mergeCell ref="A15:H16"/>
    <mergeCell ref="A36:D37"/>
    <mergeCell ref="E36:H37"/>
    <mergeCell ref="A116:D117"/>
    <mergeCell ref="A56:D57"/>
    <mergeCell ref="E56:H57"/>
    <mergeCell ref="A76:D77"/>
    <mergeCell ref="E76:H77"/>
    <mergeCell ref="A96:D97"/>
    <mergeCell ref="E96:H97"/>
    <mergeCell ref="E116:H1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4"/>
  <sheetViews>
    <sheetView workbookViewId="0">
      <selection activeCell="A2" sqref="A2:AG1048576"/>
    </sheetView>
  </sheetViews>
  <sheetFormatPr baseColWidth="10" defaultColWidth="9" defaultRowHeight="14.25"/>
  <sheetData>
    <row r="1" spans="1:33">
      <c r="A1" s="13" t="s">
        <v>14</v>
      </c>
      <c r="B1" s="13" t="s">
        <v>5</v>
      </c>
      <c r="C1" s="13"/>
      <c r="D1" s="13" t="s">
        <v>15</v>
      </c>
      <c r="E1" s="13" t="s">
        <v>16</v>
      </c>
      <c r="F1" s="13"/>
      <c r="G1" s="13" t="s">
        <v>17</v>
      </c>
      <c r="H1" s="13" t="s">
        <v>18</v>
      </c>
      <c r="I1" s="13"/>
      <c r="J1" s="13" t="s">
        <v>15</v>
      </c>
      <c r="K1" s="13" t="s">
        <v>19</v>
      </c>
      <c r="L1" s="13" t="s">
        <v>20</v>
      </c>
      <c r="M1" s="13" t="s">
        <v>21</v>
      </c>
      <c r="N1" s="13"/>
      <c r="O1" s="13" t="s">
        <v>14</v>
      </c>
      <c r="P1" s="13" t="s">
        <v>22</v>
      </c>
      <c r="Q1" s="13" t="s">
        <v>23</v>
      </c>
      <c r="R1" s="13"/>
      <c r="S1" s="13" t="s">
        <v>14</v>
      </c>
      <c r="T1" s="13" t="s">
        <v>16</v>
      </c>
      <c r="U1" s="13" t="s">
        <v>19</v>
      </c>
      <c r="V1" s="13" t="s">
        <v>20</v>
      </c>
      <c r="W1" s="13"/>
      <c r="X1" s="13" t="s">
        <v>24</v>
      </c>
      <c r="Y1" s="13" t="s">
        <v>16</v>
      </c>
      <c r="Z1" s="13" t="s">
        <v>25</v>
      </c>
      <c r="AA1" s="13"/>
      <c r="AB1" s="13" t="s">
        <v>24</v>
      </c>
      <c r="AC1" s="13" t="s">
        <v>16</v>
      </c>
      <c r="AD1" s="13" t="s">
        <v>25</v>
      </c>
      <c r="AE1" s="13"/>
      <c r="AF1" s="13" t="s">
        <v>26</v>
      </c>
      <c r="AG1" s="13" t="s">
        <v>27</v>
      </c>
    </row>
    <row r="2" spans="1:3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A5" sqref="A5:G16"/>
    </sheetView>
  </sheetViews>
  <sheetFormatPr baseColWidth="10" defaultColWidth="9" defaultRowHeight="14.25"/>
  <cols>
    <col min="1" max="1" width="69.125" customWidth="1"/>
    <col min="2" max="2" width="17.875" customWidth="1"/>
    <col min="3" max="3" width="14" customWidth="1"/>
    <col min="4" max="4" width="16.5" customWidth="1"/>
    <col min="5" max="5" width="17.375" customWidth="1"/>
    <col min="6" max="6" width="16.875" customWidth="1"/>
    <col min="7" max="7" width="12.5" customWidth="1"/>
  </cols>
  <sheetData>
    <row r="1" spans="1:7" ht="23.25">
      <c r="A1" s="28" t="s">
        <v>29</v>
      </c>
      <c r="B1" s="28"/>
      <c r="C1" s="28"/>
      <c r="D1" s="28"/>
      <c r="E1" s="28"/>
      <c r="F1" s="28"/>
      <c r="G1" s="28"/>
    </row>
    <row r="2" spans="1:7">
      <c r="A2" s="27" t="s">
        <v>30</v>
      </c>
      <c r="B2" s="27"/>
      <c r="C2" s="27"/>
      <c r="D2" s="27"/>
      <c r="E2" s="27"/>
      <c r="F2" s="27"/>
      <c r="G2" s="27"/>
    </row>
    <row r="3" spans="1:7">
      <c r="A3" s="1"/>
      <c r="B3" s="1"/>
      <c r="C3" s="1"/>
      <c r="D3" s="1"/>
      <c r="E3" s="1"/>
      <c r="F3" s="1"/>
      <c r="G3" s="1"/>
    </row>
    <row r="4" spans="1:7" ht="30">
      <c r="A4" s="2" t="s">
        <v>14</v>
      </c>
      <c r="B4" s="2" t="s">
        <v>5</v>
      </c>
      <c r="C4" s="2" t="s">
        <v>31</v>
      </c>
      <c r="D4" s="2" t="s">
        <v>22</v>
      </c>
      <c r="E4" s="2" t="s">
        <v>32</v>
      </c>
      <c r="F4" s="2" t="s">
        <v>33</v>
      </c>
      <c r="G4" s="2" t="s">
        <v>34</v>
      </c>
    </row>
    <row r="5" spans="1:7">
      <c r="A5" s="1"/>
      <c r="B5" s="1"/>
      <c r="C5" s="14"/>
      <c r="D5" s="14"/>
      <c r="E5" s="14"/>
      <c r="F5" s="14"/>
      <c r="G5" s="14"/>
    </row>
    <row r="6" spans="1:7">
      <c r="A6" s="1"/>
      <c r="B6" s="1"/>
      <c r="C6" s="14"/>
      <c r="D6" s="14"/>
      <c r="E6" s="14"/>
      <c r="F6" s="14"/>
      <c r="G6" s="14"/>
    </row>
    <row r="7" spans="1:7">
      <c r="A7" s="1"/>
      <c r="B7" s="1"/>
      <c r="C7" s="14"/>
      <c r="D7" s="14"/>
      <c r="E7" s="14"/>
      <c r="F7" s="14"/>
      <c r="G7" s="14"/>
    </row>
    <row r="8" spans="1:7">
      <c r="A8" s="1"/>
      <c r="B8" s="1"/>
      <c r="C8" s="14"/>
      <c r="D8" s="14"/>
      <c r="E8" s="14"/>
      <c r="F8" s="14"/>
      <c r="G8" s="14"/>
    </row>
    <row r="9" spans="1:7">
      <c r="A9" s="1"/>
      <c r="B9" s="1"/>
      <c r="C9" s="14"/>
      <c r="D9" s="14"/>
      <c r="E9" s="14"/>
      <c r="F9" s="14"/>
      <c r="G9" s="14"/>
    </row>
    <row r="10" spans="1:7">
      <c r="A10" s="1"/>
      <c r="B10" s="1"/>
      <c r="C10" s="14"/>
      <c r="D10" s="14"/>
      <c r="E10" s="14"/>
      <c r="F10" s="14"/>
      <c r="G10" s="14"/>
    </row>
    <row r="11" spans="1:7">
      <c r="A11" s="1"/>
      <c r="B11" s="1"/>
      <c r="C11" s="14"/>
      <c r="D11" s="14"/>
      <c r="E11" s="14"/>
      <c r="F11" s="14"/>
      <c r="G11" s="14"/>
    </row>
    <row r="12" spans="1:7">
      <c r="A12" s="1"/>
      <c r="B12" s="1"/>
      <c r="C12" s="14"/>
      <c r="D12" s="14"/>
      <c r="E12" s="14"/>
      <c r="F12" s="14"/>
      <c r="G12" s="14"/>
    </row>
    <row r="13" spans="1:7">
      <c r="A13" s="1"/>
      <c r="B13" s="1"/>
      <c r="C13" s="14"/>
      <c r="D13" s="14"/>
      <c r="E13" s="14"/>
      <c r="F13" s="14"/>
      <c r="G13" s="14"/>
    </row>
    <row r="14" spans="1:7">
      <c r="A14" s="1"/>
      <c r="B14" s="1"/>
      <c r="C14" s="14"/>
      <c r="D14" s="14"/>
      <c r="E14" s="14"/>
      <c r="F14" s="14"/>
      <c r="G14" s="14"/>
    </row>
    <row r="15" spans="1:7">
      <c r="A15" s="1"/>
      <c r="B15" s="1"/>
      <c r="C15" s="14"/>
      <c r="D15" s="14"/>
      <c r="E15" s="14"/>
      <c r="F15" s="14"/>
      <c r="G15" s="14"/>
    </row>
    <row r="16" spans="1:7">
      <c r="A16" s="1"/>
      <c r="B16" s="1"/>
      <c r="C16" s="14"/>
      <c r="D16" s="14"/>
      <c r="E16" s="14"/>
      <c r="F16" s="14"/>
      <c r="G16" s="14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C18" sqref="C18"/>
    </sheetView>
  </sheetViews>
  <sheetFormatPr baseColWidth="10" defaultColWidth="9" defaultRowHeight="14.25"/>
  <cols>
    <col min="1" max="1" width="45.375" customWidth="1"/>
    <col min="2" max="2" width="45.75" customWidth="1"/>
    <col min="3" max="3" width="31.375" customWidth="1"/>
    <col min="4" max="4" width="54" customWidth="1"/>
  </cols>
  <sheetData>
    <row r="1" spans="1:4" ht="23.25">
      <c r="A1" s="28" t="s">
        <v>35</v>
      </c>
      <c r="B1" s="28"/>
      <c r="C1" s="28"/>
      <c r="D1" s="28"/>
    </row>
    <row r="2" spans="1:4">
      <c r="A2" s="1"/>
      <c r="B2" s="1"/>
      <c r="C2" s="1"/>
      <c r="D2" s="1"/>
    </row>
    <row r="3" spans="1:4" ht="15">
      <c r="A3" s="2" t="s">
        <v>36</v>
      </c>
      <c r="B3" s="2" t="s">
        <v>37</v>
      </c>
      <c r="C3" s="2" t="s">
        <v>38</v>
      </c>
      <c r="D3" s="2" t="s">
        <v>39</v>
      </c>
    </row>
    <row r="4" spans="1:4">
      <c r="A4" t="s">
        <v>40</v>
      </c>
      <c r="B4" t="s">
        <v>41</v>
      </c>
      <c r="C4" t="s">
        <v>42</v>
      </c>
      <c r="D4" t="s">
        <v>43</v>
      </c>
    </row>
    <row r="5" spans="1:4">
      <c r="A5" t="s">
        <v>44</v>
      </c>
      <c r="B5" t="s">
        <v>45</v>
      </c>
      <c r="C5" t="s">
        <v>46</v>
      </c>
      <c r="D5" t="s">
        <v>47</v>
      </c>
    </row>
    <row r="6" spans="1:4">
      <c r="A6" t="s">
        <v>48</v>
      </c>
      <c r="B6" t="s">
        <v>49</v>
      </c>
      <c r="C6" t="s">
        <v>50</v>
      </c>
      <c r="D6" t="s">
        <v>51</v>
      </c>
    </row>
    <row r="7" spans="1:4">
      <c r="A7" t="s">
        <v>52</v>
      </c>
      <c r="B7" t="s">
        <v>53</v>
      </c>
      <c r="C7" t="s">
        <v>54</v>
      </c>
      <c r="D7" t="s">
        <v>55</v>
      </c>
    </row>
    <row r="8" spans="1:4">
      <c r="A8" t="s">
        <v>56</v>
      </c>
      <c r="B8" t="s">
        <v>57</v>
      </c>
      <c r="C8" t="s">
        <v>58</v>
      </c>
      <c r="D8" t="s">
        <v>59</v>
      </c>
    </row>
    <row r="9" spans="1:4">
      <c r="A9" t="s">
        <v>60</v>
      </c>
      <c r="B9" t="s">
        <v>61</v>
      </c>
      <c r="C9" t="s">
        <v>62</v>
      </c>
      <c r="D9" t="s">
        <v>63</v>
      </c>
    </row>
    <row r="10" spans="1:4">
      <c r="A10" t="s">
        <v>64</v>
      </c>
      <c r="B10" t="s">
        <v>65</v>
      </c>
      <c r="C10" t="s">
        <v>66</v>
      </c>
      <c r="D10" t="s">
        <v>67</v>
      </c>
    </row>
    <row r="11" spans="1:4">
      <c r="A11" t="s">
        <v>68</v>
      </c>
      <c r="B11" t="s">
        <v>69</v>
      </c>
      <c r="C11" t="s">
        <v>70</v>
      </c>
      <c r="D11" t="s">
        <v>71</v>
      </c>
    </row>
    <row r="12" spans="1:4">
      <c r="A12" t="s">
        <v>72</v>
      </c>
      <c r="B12" t="s">
        <v>73</v>
      </c>
      <c r="C12" t="s">
        <v>74</v>
      </c>
      <c r="D12" t="s">
        <v>75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A4" sqref="A4:G6"/>
    </sheetView>
  </sheetViews>
  <sheetFormatPr baseColWidth="10" defaultColWidth="9" defaultRowHeight="14.25"/>
  <cols>
    <col min="1" max="1" width="45.375" customWidth="1"/>
    <col min="2" max="2" width="17.875" customWidth="1"/>
    <col min="3" max="3" width="9.125" customWidth="1"/>
    <col min="4" max="4" width="11.5" customWidth="1"/>
    <col min="5" max="5" width="17.375" customWidth="1"/>
    <col min="6" max="6" width="17" customWidth="1"/>
    <col min="7" max="7" width="48.5" customWidth="1"/>
  </cols>
  <sheetData>
    <row r="1" spans="1:7" ht="23.25">
      <c r="A1" s="28" t="s">
        <v>76</v>
      </c>
      <c r="B1" s="28"/>
      <c r="C1" s="28"/>
      <c r="D1" s="28"/>
      <c r="E1" s="28"/>
      <c r="F1" s="28"/>
      <c r="G1" s="28"/>
    </row>
    <row r="2" spans="1:7">
      <c r="A2" s="1"/>
      <c r="B2" s="1"/>
      <c r="C2" s="1"/>
      <c r="D2" s="1"/>
      <c r="E2" s="1"/>
      <c r="F2" s="1"/>
      <c r="G2" s="1"/>
    </row>
    <row r="3" spans="1:7" ht="30">
      <c r="A3" s="2" t="s">
        <v>15</v>
      </c>
      <c r="B3" s="2" t="s">
        <v>5</v>
      </c>
      <c r="C3" s="2" t="s">
        <v>19</v>
      </c>
      <c r="D3" s="2" t="s">
        <v>20</v>
      </c>
      <c r="E3" s="2" t="s">
        <v>32</v>
      </c>
      <c r="F3" s="2" t="s">
        <v>77</v>
      </c>
      <c r="G3" s="2" t="s">
        <v>78</v>
      </c>
    </row>
    <row r="4" spans="1:7">
      <c r="C4" s="19"/>
      <c r="D4" s="19"/>
      <c r="E4" s="19"/>
      <c r="F4" s="19"/>
    </row>
    <row r="5" spans="1:7">
      <c r="C5" s="19"/>
      <c r="D5" s="19"/>
      <c r="E5" s="19"/>
      <c r="F5" s="19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5"/>
  <sheetViews>
    <sheetView showGridLines="0" zoomScale="70" zoomScaleNormal="70" workbookViewId="0">
      <selection activeCell="A4" sqref="A4:L29"/>
    </sheetView>
  </sheetViews>
  <sheetFormatPr baseColWidth="10" defaultColWidth="9" defaultRowHeight="14.25"/>
  <cols>
    <col min="1" max="1" width="22" customWidth="1"/>
    <col min="2" max="4" width="22.25" customWidth="1"/>
    <col min="5" max="5" width="33.5" customWidth="1"/>
    <col min="6" max="6" width="26.125" customWidth="1"/>
    <col min="7" max="7" width="17.125" customWidth="1"/>
    <col min="8" max="8" width="19.125" customWidth="1"/>
    <col min="9" max="9" width="9.125" customWidth="1"/>
    <col min="10" max="10" width="11.5" customWidth="1"/>
    <col min="11" max="11" width="12.375" customWidth="1"/>
    <col min="12" max="12" width="12" customWidth="1"/>
  </cols>
  <sheetData>
    <row r="1" spans="1:14" ht="23.25">
      <c r="A1" s="28" t="s">
        <v>79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ht="30">
      <c r="A3" s="2" t="s">
        <v>80</v>
      </c>
      <c r="B3" s="2" t="s">
        <v>15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19</v>
      </c>
      <c r="J3" s="2" t="s">
        <v>20</v>
      </c>
      <c r="K3" s="2" t="s">
        <v>21</v>
      </c>
      <c r="L3" s="2" t="s">
        <v>28</v>
      </c>
    </row>
    <row r="4" spans="1:14" ht="23.25">
      <c r="G4" s="15"/>
      <c r="H4" s="15"/>
      <c r="I4" s="5"/>
      <c r="J4" s="5"/>
      <c r="K4" s="5"/>
      <c r="L4" s="5"/>
      <c r="N4">
        <f>I4-K4</f>
        <v>0</v>
      </c>
    </row>
    <row r="5" spans="1:14" ht="23.25">
      <c r="G5" s="15"/>
      <c r="H5" s="15"/>
      <c r="I5" s="5"/>
      <c r="J5" s="5"/>
      <c r="K5" s="5"/>
      <c r="L5" s="5"/>
    </row>
    <row r="6" spans="1:14" ht="23.25">
      <c r="G6" s="15"/>
      <c r="H6" s="15"/>
      <c r="I6" s="5"/>
      <c r="J6" s="5"/>
      <c r="K6" s="5"/>
      <c r="L6" s="5"/>
    </row>
    <row r="7" spans="1:14" ht="23.25">
      <c r="G7" s="15"/>
      <c r="H7" s="15"/>
      <c r="I7" s="5"/>
      <c r="J7" s="5"/>
      <c r="K7" s="5"/>
      <c r="L7" s="5"/>
    </row>
    <row r="8" spans="1:14" ht="23.25">
      <c r="G8" s="15"/>
      <c r="H8" s="15"/>
      <c r="I8" s="5"/>
      <c r="J8" s="5"/>
      <c r="K8" s="5"/>
      <c r="L8" s="5"/>
    </row>
    <row r="9" spans="1:14" ht="23.25">
      <c r="G9" s="15"/>
      <c r="H9" s="15"/>
      <c r="I9" s="5"/>
      <c r="J9" s="5"/>
      <c r="K9" s="5"/>
      <c r="L9" s="5"/>
    </row>
    <row r="10" spans="1:14" ht="23.25">
      <c r="G10" s="15"/>
      <c r="H10" s="15"/>
      <c r="I10" s="5"/>
      <c r="J10" s="5"/>
      <c r="K10" s="5"/>
      <c r="L10" s="5"/>
    </row>
    <row r="11" spans="1:14" ht="23.25">
      <c r="G11" s="15"/>
      <c r="H11" s="15"/>
      <c r="I11" s="5"/>
      <c r="J11" s="5"/>
      <c r="K11" s="5"/>
      <c r="L11" s="5"/>
    </row>
    <row r="12" spans="1:14" ht="23.25">
      <c r="G12" s="15"/>
      <c r="H12" s="15"/>
      <c r="I12" s="5"/>
      <c r="J12" s="5"/>
      <c r="K12" s="5"/>
      <c r="L12" s="5"/>
    </row>
    <row r="13" spans="1:14" ht="23.25">
      <c r="G13" s="15"/>
      <c r="H13" s="15"/>
      <c r="I13" s="5"/>
      <c r="J13" s="5"/>
      <c r="K13" s="5"/>
      <c r="L13" s="5"/>
    </row>
    <row r="14" spans="1:14" ht="23.25">
      <c r="G14" s="15"/>
      <c r="H14" s="15"/>
      <c r="I14" s="5"/>
      <c r="J14" s="5"/>
      <c r="K14" s="5"/>
      <c r="L14" s="5"/>
    </row>
    <row r="15" spans="1:14" ht="23.25">
      <c r="G15" s="15"/>
      <c r="H15" s="15"/>
      <c r="I15" s="5"/>
      <c r="J15" s="5"/>
      <c r="K15" s="5"/>
      <c r="L15" s="5"/>
    </row>
    <row r="16" spans="1:14" ht="23.25">
      <c r="G16" s="15"/>
      <c r="H16" s="15"/>
      <c r="I16" s="5"/>
      <c r="J16" s="5"/>
      <c r="K16" s="5"/>
      <c r="L16" s="5"/>
    </row>
    <row r="17" spans="7:12" ht="23.25">
      <c r="G17" s="15"/>
      <c r="H17" s="15"/>
      <c r="I17" s="5"/>
      <c r="J17" s="5"/>
      <c r="K17" s="5"/>
      <c r="L17" s="5"/>
    </row>
    <row r="18" spans="7:12" ht="23.25">
      <c r="G18" s="15"/>
      <c r="H18" s="15"/>
      <c r="I18" s="5"/>
      <c r="J18" s="5"/>
      <c r="K18" s="5"/>
      <c r="L18" s="5"/>
    </row>
    <row r="19" spans="7:12" ht="23.25">
      <c r="G19" s="15"/>
      <c r="H19" s="15"/>
      <c r="I19" s="5"/>
      <c r="J19" s="5"/>
      <c r="K19" s="5"/>
      <c r="L19" s="5"/>
    </row>
    <row r="20" spans="7:12" ht="23.25">
      <c r="G20" s="15"/>
      <c r="H20" s="15"/>
      <c r="I20" s="5"/>
      <c r="J20" s="5"/>
      <c r="K20" s="5"/>
      <c r="L20" s="5"/>
    </row>
    <row r="21" spans="7:12" ht="23.25">
      <c r="G21" s="15"/>
      <c r="H21" s="15"/>
      <c r="I21" s="5"/>
      <c r="J21" s="5"/>
      <c r="K21" s="5"/>
      <c r="L21" s="5"/>
    </row>
    <row r="22" spans="7:12" ht="23.25">
      <c r="G22" s="15"/>
      <c r="H22" s="15"/>
      <c r="I22" s="5"/>
      <c r="J22" s="5"/>
      <c r="K22" s="5"/>
      <c r="L22" s="5"/>
    </row>
    <row r="23" spans="7:12" ht="23.25">
      <c r="G23" s="15"/>
      <c r="H23" s="15"/>
      <c r="I23" s="5"/>
      <c r="J23" s="5"/>
      <c r="K23" s="5"/>
      <c r="L23" s="5"/>
    </row>
    <row r="24" spans="7:12" ht="23.25">
      <c r="G24" s="15"/>
      <c r="H24" s="15"/>
      <c r="I24" s="5"/>
      <c r="J24" s="5"/>
      <c r="K24" s="5"/>
      <c r="L24" s="5"/>
    </row>
    <row r="25" spans="7:12" ht="23.25">
      <c r="G25" s="15"/>
      <c r="H25" s="15"/>
      <c r="I25" s="5"/>
      <c r="J25" s="5"/>
      <c r="K25" s="5"/>
      <c r="L25" s="5"/>
    </row>
    <row r="26" spans="7:12" ht="23.25">
      <c r="G26" s="15"/>
      <c r="H26" s="15"/>
      <c r="I26" s="5"/>
      <c r="J26" s="5"/>
      <c r="K26" s="5"/>
      <c r="L26" s="5"/>
    </row>
    <row r="27" spans="7:12" ht="23.25">
      <c r="G27" s="15"/>
      <c r="H27" s="15"/>
      <c r="I27" s="5"/>
      <c r="J27" s="5"/>
      <c r="K27" s="5"/>
      <c r="L27" s="5"/>
    </row>
    <row r="28" spans="7:12" ht="23.25">
      <c r="G28" s="15"/>
      <c r="H28" s="15"/>
      <c r="I28" s="5"/>
      <c r="J28" s="5"/>
      <c r="K28" s="5"/>
      <c r="L28" s="5"/>
    </row>
    <row r="29" spans="7:12" ht="23.25">
      <c r="G29" s="15"/>
      <c r="H29" s="15"/>
      <c r="I29" s="5"/>
      <c r="J29" s="5"/>
      <c r="K29" s="5"/>
      <c r="L29" s="5"/>
    </row>
    <row r="30" spans="7:12">
      <c r="G30" s="16"/>
      <c r="H30" s="16"/>
    </row>
    <row r="31" spans="7:12">
      <c r="G31" s="16"/>
      <c r="H31" s="16"/>
    </row>
    <row r="32" spans="7:12">
      <c r="G32" s="16"/>
      <c r="H32" s="16"/>
    </row>
    <row r="33" spans="7:8">
      <c r="G33" s="16"/>
      <c r="H33" s="16"/>
    </row>
    <row r="34" spans="7:8">
      <c r="G34" s="16"/>
      <c r="H34" s="16"/>
    </row>
    <row r="35" spans="7:8">
      <c r="G35" s="16"/>
      <c r="H35" s="16"/>
    </row>
    <row r="36" spans="7:8">
      <c r="G36" s="16"/>
      <c r="H36" s="16"/>
    </row>
    <row r="37" spans="7:8">
      <c r="G37" s="16"/>
      <c r="H37" s="16"/>
    </row>
    <row r="38" spans="7:8">
      <c r="G38" s="16"/>
      <c r="H38" s="16"/>
    </row>
    <row r="39" spans="7:8">
      <c r="G39" s="16"/>
      <c r="H39" s="16"/>
    </row>
    <row r="40" spans="7:8">
      <c r="G40" s="16"/>
      <c r="H40" s="16"/>
    </row>
    <row r="41" spans="7:8">
      <c r="G41" s="16"/>
      <c r="H41" s="16"/>
    </row>
    <row r="42" spans="7:8">
      <c r="G42" s="16"/>
      <c r="H42" s="16"/>
    </row>
    <row r="43" spans="7:8">
      <c r="G43" s="16"/>
      <c r="H43" s="16"/>
    </row>
    <row r="44" spans="7:8">
      <c r="G44" s="16"/>
      <c r="H44" s="16"/>
    </row>
    <row r="45" spans="7:8">
      <c r="G45" s="16"/>
      <c r="H45" s="16"/>
    </row>
    <row r="46" spans="7:8">
      <c r="G46" s="16"/>
      <c r="H46" s="16"/>
    </row>
    <row r="47" spans="7:8">
      <c r="G47" s="16"/>
      <c r="H47" s="16"/>
    </row>
    <row r="48" spans="7:8">
      <c r="G48" s="16"/>
      <c r="H48" s="16"/>
    </row>
    <row r="49" spans="7:8">
      <c r="G49" s="16"/>
      <c r="H49" s="16"/>
    </row>
    <row r="50" spans="7:8">
      <c r="G50" s="16"/>
      <c r="H50" s="16"/>
    </row>
    <row r="51" spans="7:8">
      <c r="G51" s="16"/>
      <c r="H51" s="16"/>
    </row>
    <row r="52" spans="7:8">
      <c r="G52" s="16"/>
      <c r="H52" s="16"/>
    </row>
    <row r="53" spans="7:8">
      <c r="G53" s="16"/>
      <c r="H53" s="16"/>
    </row>
    <row r="54" spans="7:8">
      <c r="G54" s="16"/>
      <c r="H54" s="16"/>
    </row>
    <row r="55" spans="7:8">
      <c r="G55" s="16"/>
      <c r="H55" s="16"/>
    </row>
    <row r="56" spans="7:8">
      <c r="G56" s="16"/>
      <c r="H56" s="16"/>
    </row>
    <row r="57" spans="7:8">
      <c r="G57" s="16"/>
      <c r="H57" s="16"/>
    </row>
    <row r="58" spans="7:8">
      <c r="G58" s="16"/>
      <c r="H58" s="16"/>
    </row>
    <row r="59" spans="7:8">
      <c r="G59" s="16"/>
      <c r="H59" s="16"/>
    </row>
    <row r="60" spans="7:8">
      <c r="G60" s="16"/>
      <c r="H60" s="16"/>
    </row>
    <row r="61" spans="7:8">
      <c r="G61" s="16"/>
      <c r="H61" s="16"/>
    </row>
    <row r="62" spans="7:8">
      <c r="G62" s="16"/>
      <c r="H62" s="16"/>
    </row>
    <row r="63" spans="7:8">
      <c r="G63" s="16"/>
      <c r="H63" s="16"/>
    </row>
    <row r="64" spans="7:8">
      <c r="G64" s="16"/>
      <c r="H64" s="16"/>
    </row>
    <row r="65" spans="7:8">
      <c r="G65" s="16"/>
      <c r="H65" s="16"/>
    </row>
    <row r="66" spans="7:8">
      <c r="G66" s="16"/>
      <c r="H66" s="16"/>
    </row>
    <row r="67" spans="7:8">
      <c r="G67" s="16"/>
      <c r="H67" s="16"/>
    </row>
    <row r="68" spans="7:8">
      <c r="G68" s="16"/>
      <c r="H68" s="16"/>
    </row>
    <row r="69" spans="7:8">
      <c r="G69" s="16"/>
      <c r="H69" s="16"/>
    </row>
    <row r="70" spans="7:8">
      <c r="G70" s="16"/>
      <c r="H70" s="16"/>
    </row>
    <row r="71" spans="7:8">
      <c r="G71" s="16"/>
      <c r="H71" s="16"/>
    </row>
    <row r="72" spans="7:8">
      <c r="G72" s="16"/>
      <c r="H72" s="16"/>
    </row>
    <row r="73" spans="7:8">
      <c r="G73" s="16"/>
      <c r="H73" s="16"/>
    </row>
    <row r="74" spans="7:8">
      <c r="G74" s="16"/>
      <c r="H74" s="16"/>
    </row>
    <row r="75" spans="7:8">
      <c r="G75" s="16"/>
      <c r="H75" s="16"/>
    </row>
    <row r="76" spans="7:8">
      <c r="G76" s="16"/>
      <c r="H76" s="16"/>
    </row>
    <row r="77" spans="7:8">
      <c r="G77" s="16"/>
      <c r="H77" s="16"/>
    </row>
    <row r="78" spans="7:8">
      <c r="G78" s="16"/>
      <c r="H78" s="16"/>
    </row>
    <row r="79" spans="7:8">
      <c r="G79" s="16"/>
      <c r="H79" s="16"/>
    </row>
    <row r="80" spans="7:8">
      <c r="G80" s="16"/>
      <c r="H80" s="16"/>
    </row>
    <row r="81" spans="7:8">
      <c r="G81" s="16"/>
      <c r="H81" s="16"/>
    </row>
    <row r="82" spans="7:8">
      <c r="G82" s="16"/>
      <c r="H82" s="16"/>
    </row>
    <row r="83" spans="7:8">
      <c r="G83" s="16"/>
      <c r="H83" s="16"/>
    </row>
    <row r="84" spans="7:8">
      <c r="G84" s="16"/>
      <c r="H84" s="16"/>
    </row>
    <row r="85" spans="7:8">
      <c r="G85" s="16"/>
      <c r="H85" s="16"/>
    </row>
    <row r="86" spans="7:8">
      <c r="G86" s="16"/>
      <c r="H86" s="16"/>
    </row>
    <row r="87" spans="7:8">
      <c r="G87" s="16"/>
      <c r="H87" s="16"/>
    </row>
    <row r="88" spans="7:8">
      <c r="G88" s="16"/>
      <c r="H88" s="16"/>
    </row>
    <row r="89" spans="7:8">
      <c r="G89" s="16"/>
      <c r="H89" s="16"/>
    </row>
    <row r="90" spans="7:8">
      <c r="G90" s="16"/>
      <c r="H90" s="16"/>
    </row>
    <row r="91" spans="7:8">
      <c r="G91" s="16"/>
      <c r="H91" s="16"/>
    </row>
    <row r="92" spans="7:8">
      <c r="G92" s="16"/>
      <c r="H92" s="16"/>
    </row>
    <row r="93" spans="7:8">
      <c r="G93" s="16"/>
      <c r="H93" s="16"/>
    </row>
    <row r="94" spans="7:8">
      <c r="G94" s="16"/>
      <c r="H94" s="16"/>
    </row>
    <row r="95" spans="7:8">
      <c r="G95" s="16"/>
      <c r="H95" s="16"/>
    </row>
    <row r="96" spans="7:8">
      <c r="G96" s="16"/>
      <c r="H96" s="16"/>
    </row>
    <row r="97" spans="7:8">
      <c r="G97" s="16"/>
      <c r="H97" s="16"/>
    </row>
    <row r="98" spans="7:8">
      <c r="G98" s="16"/>
      <c r="H98" s="16"/>
    </row>
    <row r="99" spans="7:8">
      <c r="G99" s="16"/>
      <c r="H99" s="16"/>
    </row>
    <row r="100" spans="7:8">
      <c r="G100" s="16"/>
      <c r="H100" s="16"/>
    </row>
    <row r="101" spans="7:8">
      <c r="G101" s="16"/>
      <c r="H101" s="16"/>
    </row>
    <row r="102" spans="7:8">
      <c r="G102" s="16"/>
      <c r="H102" s="16"/>
    </row>
    <row r="103" spans="7:8">
      <c r="G103" s="16"/>
      <c r="H103" s="16"/>
    </row>
    <row r="104" spans="7:8">
      <c r="G104" s="16"/>
      <c r="H104" s="16"/>
    </row>
    <row r="105" spans="7:8">
      <c r="G105" s="16"/>
      <c r="H105" s="16"/>
    </row>
    <row r="106" spans="7:8">
      <c r="G106" s="16"/>
      <c r="H106" s="16"/>
    </row>
    <row r="107" spans="7:8">
      <c r="G107" s="16"/>
      <c r="H107" s="16"/>
    </row>
    <row r="108" spans="7:8">
      <c r="G108" s="16"/>
      <c r="H108" s="16"/>
    </row>
    <row r="109" spans="7:8">
      <c r="G109" s="16"/>
      <c r="H109" s="16"/>
    </row>
    <row r="110" spans="7:8">
      <c r="G110" s="16"/>
      <c r="H110" s="16"/>
    </row>
    <row r="111" spans="7:8">
      <c r="G111" s="16"/>
      <c r="H111" s="16"/>
    </row>
    <row r="112" spans="7:8">
      <c r="G112" s="16"/>
      <c r="H112" s="16"/>
    </row>
    <row r="113" spans="7:8">
      <c r="G113" s="16"/>
      <c r="H113" s="16"/>
    </row>
    <row r="114" spans="7:8">
      <c r="G114" s="16"/>
      <c r="H114" s="16"/>
    </row>
    <row r="115" spans="7:8">
      <c r="G115" s="16"/>
      <c r="H115" s="16"/>
    </row>
    <row r="116" spans="7:8">
      <c r="G116" s="16"/>
      <c r="H116" s="16"/>
    </row>
    <row r="117" spans="7:8">
      <c r="G117" s="16"/>
      <c r="H117" s="16"/>
    </row>
    <row r="118" spans="7:8">
      <c r="G118" s="16"/>
      <c r="H118" s="16"/>
    </row>
    <row r="119" spans="7:8">
      <c r="G119" s="16"/>
      <c r="H119" s="16"/>
    </row>
    <row r="120" spans="7:8">
      <c r="G120" s="16"/>
      <c r="H120" s="16"/>
    </row>
    <row r="121" spans="7:8">
      <c r="G121" s="16"/>
      <c r="H121" s="16"/>
    </row>
    <row r="122" spans="7:8">
      <c r="G122" s="16"/>
      <c r="H122" s="16"/>
    </row>
    <row r="123" spans="7:8">
      <c r="G123" s="16"/>
      <c r="H123" s="16"/>
    </row>
    <row r="124" spans="7:8">
      <c r="G124" s="16"/>
      <c r="H124" s="16"/>
    </row>
    <row r="125" spans="7:8">
      <c r="G125" s="16"/>
      <c r="H125" s="16"/>
    </row>
    <row r="126" spans="7:8">
      <c r="G126" s="16"/>
      <c r="H126" s="16"/>
    </row>
    <row r="127" spans="7:8">
      <c r="G127" s="16"/>
      <c r="H127" s="16"/>
    </row>
    <row r="128" spans="7:8">
      <c r="G128" s="16"/>
      <c r="H128" s="16"/>
    </row>
    <row r="129" spans="7:8">
      <c r="G129" s="16"/>
      <c r="H129" s="16"/>
    </row>
    <row r="130" spans="7:8">
      <c r="G130" s="16"/>
      <c r="H130" s="16"/>
    </row>
    <row r="131" spans="7:8">
      <c r="G131" s="16"/>
      <c r="H131" s="16"/>
    </row>
    <row r="132" spans="7:8">
      <c r="G132" s="16"/>
      <c r="H132" s="16"/>
    </row>
    <row r="133" spans="7:8">
      <c r="G133" s="16"/>
      <c r="H133" s="16"/>
    </row>
    <row r="134" spans="7:8">
      <c r="G134" s="16"/>
      <c r="H134" s="16"/>
    </row>
    <row r="135" spans="7:8">
      <c r="G135" s="16"/>
      <c r="H135" s="16"/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9"/>
  <sheetViews>
    <sheetView zoomScale="70" zoomScaleNormal="70" workbookViewId="0">
      <selection activeCell="K10" sqref="K10"/>
    </sheetView>
  </sheetViews>
  <sheetFormatPr baseColWidth="10" defaultColWidth="9" defaultRowHeight="14.25"/>
  <cols>
    <col min="1" max="1" width="24.75" customWidth="1"/>
    <col min="2" max="3" width="16.5" customWidth="1"/>
    <col min="4" max="4" width="46.125" customWidth="1"/>
    <col min="5" max="5" width="35.75" customWidth="1"/>
    <col min="6" max="6" width="16.5" customWidth="1"/>
    <col min="7" max="7" width="16.5" style="16" customWidth="1"/>
    <col min="8" max="8" width="19.125" style="16" customWidth="1"/>
    <col min="9" max="9" width="21.25" style="16" customWidth="1"/>
    <col min="10" max="10" width="17.375" style="16" customWidth="1"/>
    <col min="11" max="11" width="19.875" style="16" customWidth="1"/>
    <col min="12" max="12" width="9.125" customWidth="1"/>
    <col min="13" max="13" width="11.5" customWidth="1"/>
    <col min="14" max="14" width="19.75" customWidth="1"/>
    <col min="15" max="15" width="12" customWidth="1"/>
    <col min="16" max="16" width="16.375" customWidth="1"/>
    <col min="17" max="17" width="34.375" customWidth="1"/>
  </cols>
  <sheetData>
    <row r="1" spans="1:17" ht="23.25">
      <c r="A1" s="28" t="s">
        <v>87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>
      <c r="A2" s="1"/>
      <c r="B2" s="1"/>
      <c r="C2" s="1"/>
      <c r="D2" s="1"/>
      <c r="E2" s="1"/>
      <c r="F2" s="1"/>
      <c r="G2" s="17"/>
      <c r="H2" s="17"/>
      <c r="I2" s="17"/>
      <c r="J2" s="17"/>
      <c r="K2" s="17"/>
      <c r="L2" s="1"/>
      <c r="M2" s="1"/>
      <c r="N2" s="1"/>
      <c r="O2" s="1"/>
      <c r="P2" s="1"/>
      <c r="Q2" s="1"/>
    </row>
    <row r="3" spans="1:17" ht="30">
      <c r="A3" s="2" t="s">
        <v>15</v>
      </c>
      <c r="B3" s="2" t="s">
        <v>81</v>
      </c>
      <c r="C3" s="2" t="s">
        <v>82</v>
      </c>
      <c r="D3" s="2" t="s">
        <v>83</v>
      </c>
      <c r="E3" s="2" t="s">
        <v>88</v>
      </c>
      <c r="F3" s="2" t="s">
        <v>84</v>
      </c>
      <c r="G3" s="18" t="s">
        <v>85</v>
      </c>
      <c r="H3" s="18" t="s">
        <v>89</v>
      </c>
      <c r="I3" s="18" t="s">
        <v>90</v>
      </c>
      <c r="J3" s="18" t="s">
        <v>86</v>
      </c>
      <c r="K3" s="18" t="s">
        <v>91</v>
      </c>
      <c r="L3" s="2" t="s">
        <v>19</v>
      </c>
      <c r="M3" s="2" t="s">
        <v>20</v>
      </c>
      <c r="N3" s="2" t="s">
        <v>92</v>
      </c>
      <c r="O3" s="2" t="s">
        <v>28</v>
      </c>
      <c r="P3" s="2" t="s">
        <v>93</v>
      </c>
      <c r="Q3" s="2" t="s">
        <v>26</v>
      </c>
    </row>
    <row r="4" spans="1:17" ht="23.25">
      <c r="G4" s="15"/>
      <c r="H4" s="15"/>
      <c r="I4" s="15"/>
      <c r="J4" s="15"/>
      <c r="K4" s="15"/>
      <c r="L4" s="5"/>
      <c r="M4" s="5"/>
      <c r="N4" s="5"/>
      <c r="O4" s="5"/>
      <c r="P4" s="5"/>
    </row>
    <row r="5" spans="1:17" ht="23.25">
      <c r="G5" s="15"/>
      <c r="H5" s="15"/>
      <c r="I5" s="15"/>
      <c r="J5" s="15"/>
      <c r="K5" s="15"/>
      <c r="L5" s="5"/>
      <c r="M5" s="5"/>
      <c r="N5" s="5"/>
      <c r="O5" s="5"/>
      <c r="P5" s="5"/>
    </row>
    <row r="6" spans="1:17" ht="23.25">
      <c r="G6" s="15"/>
      <c r="H6" s="15"/>
      <c r="I6" s="15"/>
      <c r="J6" s="15"/>
      <c r="K6" s="15"/>
      <c r="L6" s="5"/>
      <c r="M6" s="5"/>
      <c r="N6" s="5"/>
      <c r="O6" s="5"/>
      <c r="P6" s="5"/>
    </row>
    <row r="7" spans="1:17" ht="23.25">
      <c r="G7" s="15"/>
      <c r="H7" s="15"/>
      <c r="I7" s="15"/>
      <c r="J7" s="15"/>
      <c r="K7" s="15"/>
      <c r="L7" s="5"/>
      <c r="M7" s="5"/>
      <c r="N7" s="5"/>
      <c r="O7" s="5"/>
      <c r="P7" s="5"/>
    </row>
    <row r="8" spans="1:17" ht="23.25">
      <c r="G8" s="15"/>
      <c r="H8" s="15"/>
      <c r="I8" s="15"/>
      <c r="J8" s="15"/>
      <c r="K8" s="15"/>
      <c r="L8" s="5"/>
      <c r="M8" s="5"/>
      <c r="N8" s="5"/>
      <c r="O8" s="5"/>
      <c r="P8" s="5"/>
    </row>
    <row r="9" spans="1:17" ht="23.25">
      <c r="G9" s="15"/>
      <c r="H9" s="15"/>
      <c r="I9" s="15"/>
      <c r="J9" s="15"/>
      <c r="K9" s="15"/>
      <c r="L9" s="5"/>
      <c r="M9" s="5"/>
      <c r="N9" s="5"/>
      <c r="O9" s="5"/>
      <c r="P9" s="5"/>
    </row>
    <row r="10" spans="1:17" ht="23.25">
      <c r="G10" s="15"/>
      <c r="H10" s="15"/>
      <c r="I10" s="15"/>
      <c r="J10" s="15"/>
      <c r="K10" s="15"/>
      <c r="L10" s="5"/>
      <c r="M10" s="5"/>
      <c r="N10" s="5"/>
      <c r="O10" s="5"/>
      <c r="P10" s="5"/>
    </row>
    <row r="11" spans="1:17" ht="23.25">
      <c r="G11" s="15"/>
      <c r="H11" s="15"/>
      <c r="I11" s="15"/>
      <c r="J11" s="15"/>
      <c r="K11" s="15"/>
      <c r="L11" s="5"/>
      <c r="M11" s="5"/>
      <c r="N11" s="5"/>
      <c r="O11" s="5"/>
      <c r="P11" s="5"/>
    </row>
    <row r="12" spans="1:17" ht="23.25">
      <c r="G12" s="15"/>
      <c r="H12" s="15"/>
      <c r="I12" s="15"/>
      <c r="J12" s="15"/>
      <c r="K12" s="15"/>
      <c r="L12" s="5"/>
      <c r="M12" s="5"/>
      <c r="N12" s="5"/>
      <c r="O12" s="5"/>
      <c r="P12" s="5"/>
    </row>
    <row r="13" spans="1:17" ht="23.25">
      <c r="G13" s="15"/>
      <c r="H13" s="15"/>
      <c r="I13" s="15"/>
      <c r="J13" s="15"/>
      <c r="K13" s="15"/>
      <c r="L13" s="5"/>
      <c r="M13" s="5"/>
      <c r="N13" s="5"/>
      <c r="O13" s="5"/>
      <c r="P13" s="5"/>
    </row>
    <row r="14" spans="1:17" ht="23.25">
      <c r="G14" s="15"/>
      <c r="H14" s="15"/>
      <c r="I14" s="15"/>
      <c r="J14" s="15"/>
      <c r="K14" s="15"/>
      <c r="L14" s="5"/>
      <c r="M14" s="5"/>
      <c r="N14" s="5"/>
      <c r="O14" s="5"/>
      <c r="P14" s="5"/>
    </row>
    <row r="15" spans="1:17" ht="23.25">
      <c r="G15" s="15"/>
      <c r="H15" s="15"/>
      <c r="I15" s="15"/>
      <c r="J15" s="15"/>
      <c r="K15" s="15"/>
      <c r="L15" s="5"/>
      <c r="M15" s="5"/>
      <c r="N15" s="5"/>
      <c r="O15" s="5"/>
      <c r="P15" s="5"/>
    </row>
    <row r="16" spans="1:17" ht="23.25">
      <c r="G16" s="15"/>
      <c r="H16" s="15"/>
      <c r="I16" s="15"/>
      <c r="J16" s="15"/>
      <c r="K16" s="15"/>
      <c r="L16" s="5"/>
      <c r="M16" s="5"/>
      <c r="N16" s="5"/>
      <c r="O16" s="5"/>
      <c r="P16" s="5"/>
    </row>
    <row r="17" spans="7:16" ht="23.25">
      <c r="G17" s="15"/>
      <c r="H17" s="15"/>
      <c r="I17" s="15"/>
      <c r="J17" s="15"/>
      <c r="K17" s="15"/>
      <c r="L17" s="5"/>
      <c r="M17" s="5"/>
      <c r="N17" s="5"/>
      <c r="O17" s="5"/>
      <c r="P17" s="5"/>
    </row>
    <row r="18" spans="7:16" ht="23.25">
      <c r="G18" s="15"/>
      <c r="H18" s="15"/>
      <c r="I18" s="15"/>
      <c r="J18" s="15"/>
      <c r="K18" s="15"/>
      <c r="L18" s="5"/>
      <c r="M18" s="5"/>
      <c r="N18" s="5"/>
      <c r="O18" s="5"/>
      <c r="P18" s="5"/>
    </row>
    <row r="19" spans="7:16" ht="23.25">
      <c r="G19" s="15"/>
      <c r="H19" s="15"/>
      <c r="I19" s="15"/>
      <c r="J19" s="15"/>
      <c r="K19" s="15"/>
      <c r="L19" s="5"/>
      <c r="M19" s="5"/>
      <c r="N19" s="5"/>
      <c r="O19" s="5"/>
      <c r="P19" s="5"/>
    </row>
    <row r="20" spans="7:16" ht="23.25">
      <c r="G20" s="15"/>
      <c r="H20" s="15"/>
      <c r="I20" s="15"/>
      <c r="J20" s="15"/>
      <c r="K20" s="15"/>
      <c r="L20" s="5"/>
      <c r="M20" s="5"/>
      <c r="N20" s="5"/>
      <c r="O20" s="5"/>
      <c r="P20" s="5"/>
    </row>
    <row r="21" spans="7:16" ht="23.25">
      <c r="G21" s="15"/>
      <c r="H21" s="15"/>
      <c r="I21" s="15"/>
      <c r="J21" s="15"/>
      <c r="K21" s="15"/>
      <c r="L21" s="5"/>
      <c r="M21" s="5"/>
      <c r="N21" s="5"/>
      <c r="O21" s="5"/>
      <c r="P21" s="5"/>
    </row>
    <row r="22" spans="7:16" ht="23.25">
      <c r="G22" s="15"/>
      <c r="H22" s="15"/>
      <c r="I22" s="15"/>
      <c r="J22" s="15"/>
      <c r="K22" s="15"/>
      <c r="L22" s="5"/>
      <c r="M22" s="5"/>
      <c r="N22" s="5"/>
      <c r="O22" s="5"/>
      <c r="P22" s="5"/>
    </row>
    <row r="23" spans="7:16" ht="23.25">
      <c r="G23" s="15"/>
      <c r="H23" s="15"/>
      <c r="I23" s="15"/>
      <c r="J23" s="15"/>
      <c r="K23" s="15"/>
      <c r="L23" s="5"/>
      <c r="M23" s="5"/>
      <c r="N23" s="5"/>
      <c r="O23" s="5"/>
      <c r="P23" s="5"/>
    </row>
    <row r="24" spans="7:16" ht="23.25">
      <c r="G24" s="15"/>
      <c r="H24" s="15"/>
      <c r="I24" s="15"/>
      <c r="J24" s="15"/>
      <c r="K24" s="15"/>
      <c r="L24" s="5"/>
      <c r="M24" s="5"/>
      <c r="N24" s="5"/>
      <c r="O24" s="5"/>
      <c r="P24" s="5"/>
    </row>
    <row r="25" spans="7:16" ht="23.25">
      <c r="G25" s="15"/>
      <c r="H25" s="15"/>
      <c r="I25" s="15"/>
      <c r="J25" s="15"/>
      <c r="K25" s="15"/>
      <c r="L25" s="5"/>
      <c r="M25" s="5"/>
      <c r="N25" s="5"/>
      <c r="O25" s="5"/>
      <c r="P25" s="5"/>
    </row>
    <row r="26" spans="7:16" ht="23.25">
      <c r="G26" s="15"/>
      <c r="H26" s="15"/>
      <c r="I26" s="15"/>
      <c r="J26" s="15"/>
      <c r="K26" s="15"/>
      <c r="L26" s="5"/>
      <c r="M26" s="5"/>
      <c r="N26" s="5"/>
      <c r="O26" s="5"/>
      <c r="P26" s="5"/>
    </row>
    <row r="27" spans="7:16" ht="23.25">
      <c r="G27" s="15"/>
      <c r="H27" s="15"/>
      <c r="I27" s="15"/>
      <c r="J27" s="15"/>
      <c r="K27" s="15"/>
      <c r="L27" s="5"/>
      <c r="M27" s="5"/>
      <c r="N27" s="5"/>
      <c r="O27" s="5"/>
      <c r="P27" s="5"/>
    </row>
    <row r="28" spans="7:16" ht="23.25">
      <c r="G28" s="15"/>
      <c r="H28" s="15"/>
      <c r="I28" s="15"/>
      <c r="J28" s="15"/>
      <c r="K28" s="15"/>
      <c r="L28" s="5"/>
      <c r="M28" s="5"/>
      <c r="N28" s="5"/>
      <c r="O28" s="5"/>
      <c r="P28" s="5"/>
    </row>
    <row r="29" spans="7:16" ht="23.25">
      <c r="G29" s="15"/>
      <c r="H29" s="15"/>
      <c r="I29" s="15"/>
      <c r="J29" s="15"/>
      <c r="K29" s="15"/>
      <c r="L29" s="5"/>
      <c r="M29" s="5"/>
      <c r="N29" s="5"/>
      <c r="O29" s="5"/>
      <c r="P29" s="5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Datos Graficas</vt:lpstr>
      <vt:lpstr>Promedios Mensuales</vt:lpstr>
      <vt:lpstr>Explicación Gráficas</vt:lpstr>
      <vt:lpstr>Gestión por Ciudad</vt:lpstr>
      <vt:lpstr>Ranking Demoras</vt:lpstr>
      <vt:lpstr>Detalle 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Carreno</dc:creator>
  <cp:lastModifiedBy>Camilo Carreno</cp:lastModifiedBy>
  <dcterms:created xsi:type="dcterms:W3CDTF">2026-08-11T21:46:35Z</dcterms:created>
  <dcterms:modified xsi:type="dcterms:W3CDTF">2026-08-12T14:42:52Z</dcterms:modified>
</cp:coreProperties>
</file>