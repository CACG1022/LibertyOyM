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873075\Downloads\"/>
    </mc:Choice>
  </mc:AlternateContent>
  <xr:revisionPtr revIDLastSave="0" documentId="13_ncr:1_{F780081E-8A42-4A5B-B25D-81F0C0BDFC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r:id="rId2"/>
    <sheet name="Promedios Mensuales" sheetId="3" r:id="rId3"/>
    <sheet name="Explicación Gráficas" sheetId="4" r:id="rId4"/>
    <sheet name="Gestión por Ciudad" sheetId="5" r:id="rId5"/>
    <sheet name="Ranking Demoras" sheetId="6" r:id="rId6"/>
    <sheet name="Detalle Registr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A13" i="1"/>
  <c r="E10" i="1"/>
  <c r="A10" i="1"/>
</calcChain>
</file>

<file path=xl/sharedStrings.xml><?xml version="1.0" encoding="utf-8"?>
<sst xmlns="http://schemas.openxmlformats.org/spreadsheetml/2006/main" count="230" uniqueCount="146">
  <si>
    <t>INFORME GERENCIAL DE VIABILIDADES Y MTTV</t>
  </si>
  <si>
    <t>Seguimiento ejecutivo de viabilidades, productividad mensual, tiempos de atención y causas de demora</t>
  </si>
  <si>
    <t>Fecha de generación:</t>
  </si>
  <si>
    <t>Filtros aplicados:</t>
  </si>
  <si>
    <t>Viabilidades realizadas</t>
  </si>
  <si>
    <t>MTTV total promedio</t>
  </si>
  <si>
    <t>MTTV efectivo promedio</t>
  </si>
  <si>
    <t>Tiempo muerto promedio</t>
  </si>
  <si>
    <t>Registros con estado final dentro del periodo</t>
  </si>
  <si>
    <t>Días desde ingreso hasta realización de viabilidad</t>
  </si>
  <si>
    <t>MTTV total menos tiempos muertos documentados</t>
  </si>
  <si>
    <t>Promedio de permisos y días no hábiles</t>
  </si>
  <si>
    <t>MTTV VILLAVICENCIO</t>
  </si>
  <si>
    <t>MTTV EFECTIVO VILLAVICENCIO</t>
  </si>
  <si>
    <t>MTTV IBAGUÉ</t>
  </si>
  <si>
    <t>MTTV EFECTIVO IBAGUÉ</t>
  </si>
  <si>
    <t>Resultado de gestión:</t>
  </si>
  <si>
    <t>Muestra el volumen mensual de viabilidades finalizadas y facilita identificar tendencia, estacionalidad y capacidad de atención.</t>
  </si>
  <si>
    <t>Compara la participación de Villavicencio e Ibagué en el total de viabilidades realizadas.</t>
  </si>
  <si>
    <t>Permite revisar la regularidad semanal y detectar picos o semanas con baja salida.</t>
  </si>
  <si>
    <t>Compara MTTV total, MTTV efectivo y tiempo muerto entre ciudades.</t>
  </si>
  <si>
    <t>Relaciona la demanda recibida con el tiempo efectivo promedio requerido para realizar las viabilidades.</t>
  </si>
  <si>
    <t>Compara volumen, MTTV total y MTTV efectivo por mes.</t>
  </si>
  <si>
    <t>Distribuye los clientes por rangos de MTTV total para identificar concentración y casos críticos.</t>
  </si>
  <si>
    <t>Distribuye los clientes por rangos de MTTV efectivo, descontando tiempos muertos.</t>
  </si>
  <si>
    <t>Compara permisos, días no hábiles y total de tiempo muerto promedio.</t>
  </si>
  <si>
    <t>Mes</t>
  </si>
  <si>
    <t>Ciudad</t>
  </si>
  <si>
    <t>Cantidad</t>
  </si>
  <si>
    <t>Semana</t>
  </si>
  <si>
    <t>Viabilidades</t>
  </si>
  <si>
    <t>MTTV total</t>
  </si>
  <si>
    <t>MTTV efectivo</t>
  </si>
  <si>
    <t>Tiempo muerto</t>
  </si>
  <si>
    <t>MTTV efectivo prom.</t>
  </si>
  <si>
    <t>Ingresos</t>
  </si>
  <si>
    <t>Rango</t>
  </si>
  <si>
    <t>Porcentaje</t>
  </si>
  <si>
    <t>Fuente</t>
  </si>
  <si>
    <t>Días promedio</t>
  </si>
  <si>
    <t>enero</t>
  </si>
  <si>
    <t>IBAGUE</t>
  </si>
  <si>
    <t>Semana 1</t>
  </si>
  <si>
    <t>0-5 días</t>
  </si>
  <si>
    <t>Permisos</t>
  </si>
  <si>
    <t>febrero</t>
  </si>
  <si>
    <t>VILLAVICENCIO</t>
  </si>
  <si>
    <t>Semana 2</t>
  </si>
  <si>
    <t>6-10 días</t>
  </si>
  <si>
    <t>Días no hábiles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</si>
  <si>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</si>
  <si>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</si>
  <si>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</si>
  <si>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</si>
  <si>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</si>
  <si>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</si>
  <si>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</si>
  <si>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</si>
  <si>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</si>
  <si>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</si>
  <si>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</si>
  <si>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</si>
  <si>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</si>
  <si>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</si>
  <si>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</si>
  <si>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</si>
  <si>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</si>
  <si>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</si>
  <si>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</si>
  <si>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</si>
  <si>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</si>
  <si>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</si>
  <si>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</si>
  <si>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</si>
  <si>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</si>
  <si>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</si>
  <si>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</si>
  <si>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</si>
  <si>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</si>
  <si>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</si>
  <si>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</si>
  <si>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</si>
  <si>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</si>
  <si>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</si>
  <si>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</si>
  <si>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</si>
  <si>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</si>
  <si>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</si>
  <si>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</si>
  <si>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</si>
  <si>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</si>
  <si>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</si>
  <si>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</si>
  <si>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</si>
  <si>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</si>
  <si>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</si>
  <si>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</si>
  <si>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</si>
  <si>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</si>
  <si>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</si>
  <si>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</si>
  <si>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</si>
  <si>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</si>
  <si>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</si>
  <si>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</si>
  <si>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</si>
  <si>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</si>
  <si>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</si>
  <si>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</si>
  <si>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</si>
  <si>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</si>
  <si>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</si>
  <si>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</si>
  <si>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</si>
  <si>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</si>
  <si>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</si>
  <si>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</si>
  <si>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PROMEDIOS MENSUALES MTTV</t>
  </si>
  <si>
    <t>Indicadores calculados con las viabilidades finalizadas que cumplen los filtros del dashboard.</t>
  </si>
  <si>
    <t>MTTV total prom.</t>
  </si>
  <si>
    <t>Tiempo muerto prom.</t>
  </si>
  <si>
    <t>Prom. días no hábiles</t>
  </si>
  <si>
    <t>Prom. permisos</t>
  </si>
  <si>
    <t>GUÍA DE LECTURA DE LAS GRÁFICAS</t>
  </si>
  <si>
    <t>Gráfica</t>
  </si>
  <si>
    <t>Qué muestra</t>
  </si>
  <si>
    <t>Interpretación gerencial</t>
  </si>
  <si>
    <t>Acción sugerida</t>
  </si>
  <si>
    <t>RESUMEN DE GESTIÓN POR CIUDAD</t>
  </si>
  <si>
    <t>Días no hábiles prom.</t>
  </si>
  <si>
    <t>Lectura gerencial</t>
  </si>
  <si>
    <t>RANKING DE CLIENTES CON MAYOR MTTV</t>
  </si>
  <si>
    <t>#</t>
  </si>
  <si>
    <t>ID cliente</t>
  </si>
  <si>
    <t>Cambio</t>
  </si>
  <si>
    <t>Cliente</t>
  </si>
  <si>
    <t>Estado</t>
  </si>
  <si>
    <t>Fecha ingreso</t>
  </si>
  <si>
    <t>Fecha viabilidad</t>
  </si>
  <si>
    <t>DETALLE DE REGISTROS MTTV FILTRADOS</t>
  </si>
  <si>
    <t>Dirección</t>
  </si>
  <si>
    <t>Fecha solicitud permisos</t>
  </si>
  <si>
    <t>Fecha aprobación permisos</t>
  </si>
  <si>
    <t>Fecha entrega</t>
  </si>
  <si>
    <t>Tiempo muerto permisos</t>
  </si>
  <si>
    <t>Tiempo muerto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</si>
</sst>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8"/>
      <color rgb="FFFFFFFF"/>
      <name val="Carlito"/>
    </font>
    <font>
      <i/>
      <sz val="11"/>
      <color rgb="FF667085"/>
      <name val="Carlito"/>
    </font>
    <font>
      <b/>
      <sz val="11"/>
      <color rgb="FFFFFFFF"/>
      <name val="Carlito"/>
    </font>
    <font>
      <b/>
      <sz val="18"/>
      <color rgb="FF17212F"/>
      <name val="Carlito"/>
    </font>
    <font>
      <sz val="9"/>
      <color rgb="FF667085"/>
      <name val="Carlito"/>
    </font>
    <font>
      <b/>
      <sz val="14"/>
      <color rgb="FF667085"/>
      <name val="Carlito"/>
    </font>
    <font>
      <b/>
      <sz val="18"/>
      <color rgb="FF667085"/>
      <name val="Carlito"/>
    </font>
    <font>
      <sz val="9"/>
      <name val="Carlito"/>
    </font>
    <font>
      <b/>
      <sz val="9"/>
      <color rgb="FF17212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EBEBEB"/>
      </patternFill>
    </fill>
    <fill>
      <patternFill patternType="solid">
        <fgColor rgb="FFFFF1E8"/>
      </patternFill>
    </fill>
    <fill>
      <patternFill patternType="solid">
        <fgColor rgb="FFF7F7F7"/>
      </patternFill>
    </fill>
  </fills>
  <borders count="9">
    <border>
      <left/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wrapText="1"/>
    </xf>
    <xf numFmtId="2" fontId="4" fillId="3" borderId="0" xfId="0" applyNumberFormat="1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2" fontId="4" fillId="3" borderId="5" xfId="0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8" fillId="0" borderId="0" xfId="0" applyFont="1"/>
    <xf numFmtId="0" fontId="9" fillId="3" borderId="0" xfId="0" applyFont="1" applyFill="1"/>
    <xf numFmtId="2" fontId="0" fillId="0" borderId="0" xfId="0" applyNumberFormat="1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6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2" fontId="7" fillId="4" borderId="0" xfId="0" applyNumberFormat="1" applyFont="1" applyFill="1" applyAlignment="1">
      <alignment horizontal="center"/>
    </xf>
    <xf numFmtId="0" fontId="0" fillId="5" borderId="0" xfId="0" applyFill="1" applyAlignment="1">
      <alignment vertical="center" wrapText="1"/>
    </xf>
    <xf numFmtId="0" fontId="5" fillId="5" borderId="0" xfId="0" applyFont="1" applyFill="1" applyAlignment="1">
      <alignment vertical="top" wrapText="1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Viabilidades realizadas por mes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Viabilidades realizadas</c:v>
          </c:tx>
          <c:invertIfNegative val="1"/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0F-462C-986F-FAC422652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Distribución por ciudad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Cantidad</c:v>
          </c:tx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7F-4865-9616-E23E603A9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Viabilidades por semana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Viabilidades</c:v>
          </c:tx>
          <c:invertIfNegative val="1"/>
          <c:cat>
            <c:strRef>
              <c:f>'Datos Graficas'!$G$2:$G$54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Graficas'!$H$2:$H$54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5-49CC-975F-21617FC71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MTTV por ciudad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MTTV total</c:v>
          </c:tx>
          <c:invertIfNegative val="1"/>
          <c:cat>
            <c:strRef>
              <c:f>'Datos Graficas'!$J$2:$J$3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Graficas'!$K$2:$K$3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4EF0-BAF7-3580EE3C201C}"/>
            </c:ext>
          </c:extLst>
        </c:ser>
        <c:ser>
          <c:idx val="1"/>
          <c:order val="1"/>
          <c:tx>
            <c:v>MTTV efectivo</c:v>
          </c:tx>
          <c:invertIfNegative val="1"/>
          <c:cat>
            <c:strRef>
              <c:f>'Datos Graficas'!$J$2:$J$3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Graficas'!$L$2:$L$3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4EF0-BAF7-3580EE3C201C}"/>
            </c:ext>
          </c:extLst>
        </c:ser>
        <c:ser>
          <c:idx val="2"/>
          <c:order val="2"/>
          <c:tx>
            <c:v>Tiempo muerto</c:v>
          </c:tx>
          <c:invertIfNegative val="1"/>
          <c:cat>
            <c:strRef>
              <c:f>'Datos Graficas'!$J$2:$J$3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3E-4EF0-BAF7-3580EE3C2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Ingresos vs MTTV efectivo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MTTV efectivo promedio</c:v>
          </c:tx>
          <c:invertIfNegative val="1"/>
          <c:cat>
            <c:strRef>
              <c:f>'Datos Graficas'!$O$2:$O$13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1-40FE-B6D7-F46DB7F5918F}"/>
            </c:ext>
          </c:extLst>
        </c:ser>
        <c:ser>
          <c:idx val="1"/>
          <c:order val="1"/>
          <c:tx>
            <c:v>Ingresos</c:v>
          </c:tx>
          <c:invertIfNegative val="1"/>
          <c:cat>
            <c:strRef>
              <c:f>'Datos Graficas'!$O$2:$O$13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Graficas'!$Q$2:$Q$13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81-40FE-B6D7-F46DB7F59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Promedio en días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viabilidades</c:v>
          </c:tx>
          <c:invertIfNegative val="1"/>
          <c:cat>
            <c:strRef>
              <c:f>'Datos Graficas'!$S$2:$S$13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6-4FC8-9CF2-1DBB7C9DEA82}"/>
            </c:ext>
          </c:extLst>
        </c:ser>
        <c:ser>
          <c:idx val="1"/>
          <c:order val="1"/>
          <c:tx>
            <c:v>MTTV total</c:v>
          </c:tx>
          <c:invertIfNegative val="1"/>
          <c:cat>
            <c:strRef>
              <c:f>'Datos Graficas'!$S$2:$S$13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Graficas'!$U$2:$U$13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86-4FC8-9CF2-1DBB7C9DEA82}"/>
            </c:ext>
          </c:extLst>
        </c:ser>
        <c:ser>
          <c:idx val="2"/>
          <c:order val="2"/>
          <c:tx>
            <c:v>MTTV efectivo</c:v>
          </c:tx>
          <c:invertIfNegative val="1"/>
          <c:cat>
            <c:strRef>
              <c:f>'Datos Graficas'!$S$2:$S$13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Graficas'!$V$2:$V$13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86-4FC8-9CF2-1DBB7C9DE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Segmentación MTTV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invertIfNegative val="1"/>
          <c:cat>
            <c:strRef>
              <c:f>'Datos Graficas'!$X$2:$X$8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Graficas'!$Y$2:$Y$8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65-4EA5-8111-84FB01655104}"/>
            </c:ext>
          </c:extLst>
        </c:ser>
        <c:ser>
          <c:idx val="1"/>
          <c:order val="1"/>
          <c:tx>
            <c:v>Porcentaje</c:v>
          </c:tx>
          <c:invertIfNegative val="1"/>
          <c:cat>
            <c:strRef>
              <c:f>'Datos Graficas'!$X$2:$X$8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Graficas'!$Z$2:$Z$8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65-4EA5-8111-84FB01655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Segmentación MTTV efectivo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invertIfNegative val="1"/>
          <c:cat>
            <c:strRef>
              <c:f>'Datos Graficas'!$AB$2:$AB$8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Graficas'!$AC$2:$AC$8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51-4958-A215-704234459656}"/>
            </c:ext>
          </c:extLst>
        </c:ser>
        <c:ser>
          <c:idx val="1"/>
          <c:order val="1"/>
          <c:tx>
            <c:v>Porcentaje</c:v>
          </c:tx>
          <c:invertIfNegative val="1"/>
          <c:cat>
            <c:strRef>
              <c:f>'Datos Graficas'!$AB$2:$AB$8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Graficas'!$AD$2:$AD$8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51-4958-A215-704234459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Fuentes de tiempo muerto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invertIfNegative val="1"/>
          <c:cat>
            <c:strRef>
              <c:f>'Datos Graficas'!$AF$2:$AF$4</c:f>
              <c:strCache>
                <c:ptCount val="3"/>
                <c:pt idx="0">
                  <c:v>Permisos</c:v>
                </c:pt>
                <c:pt idx="1">
                  <c:v>Días no hábiles</c:v>
                </c:pt>
                <c:pt idx="2">
                  <c:v>Total muerto</c:v>
                </c:pt>
              </c:strCache>
            </c:strRef>
          </c:cat>
          <c:val>
            <c:numRef>
              <c:f>'Datos Graficas'!$AG$2:$AG$4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1-4F98-ACBF-B5EBC8128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4</xdr:col>
      <xdr:colOff>0</xdr:colOff>
      <xdr:row>35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17</xdr:row>
      <xdr:rowOff>0</xdr:rowOff>
    </xdr:from>
    <xdr:to>
      <xdr:col>8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4</xdr:col>
      <xdr:colOff>0</xdr:colOff>
      <xdr:row>55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37</xdr:row>
      <xdr:rowOff>0</xdr:rowOff>
    </xdr:from>
    <xdr:to>
      <xdr:col>8</xdr:col>
      <xdr:colOff>0</xdr:colOff>
      <xdr:row>55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4</xdr:col>
      <xdr:colOff>0</xdr:colOff>
      <xdr:row>75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57</xdr:row>
      <xdr:rowOff>0</xdr:rowOff>
    </xdr:from>
    <xdr:to>
      <xdr:col>8</xdr:col>
      <xdr:colOff>0</xdr:colOff>
      <xdr:row>75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77</xdr:row>
      <xdr:rowOff>0</xdr:rowOff>
    </xdr:from>
    <xdr:to>
      <xdr:col>4</xdr:col>
      <xdr:colOff>0</xdr:colOff>
      <xdr:row>95</xdr:row>
      <xdr:rowOff>0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77</xdr:row>
      <xdr:rowOff>0</xdr:rowOff>
    </xdr:from>
    <xdr:to>
      <xdr:col>8</xdr:col>
      <xdr:colOff>0</xdr:colOff>
      <xdr:row>95</xdr:row>
      <xdr:rowOff>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97</xdr:row>
      <xdr:rowOff>0</xdr:rowOff>
    </xdr:from>
    <xdr:to>
      <xdr:col>4</xdr:col>
      <xdr:colOff>0</xdr:colOff>
      <xdr:row>115</xdr:row>
      <xdr:rowOff>0</xdr:rowOff>
    </xdr:to>
    <xdr:graphicFrame macro="">
      <xdr:nvGraphicFramePr>
        <xdr:cNvPr id="10" name="Chart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"/>
  <sheetViews>
    <sheetView showGridLines="0" tabSelected="1" workbookViewId="0">
      <selection activeCell="M23" sqref="M23"/>
    </sheetView>
  </sheetViews>
  <sheetFormatPr baseColWidth="10" defaultColWidth="9" defaultRowHeight="14.25"/>
  <cols>
    <col min="1" max="8" width="18" customWidth="1"/>
  </cols>
  <sheetData>
    <row r="1" spans="1:8" ht="30" customHeight="1">
      <c r="A1" s="15" t="s">
        <v>0</v>
      </c>
      <c r="B1" s="15"/>
      <c r="C1" s="15"/>
      <c r="D1" s="15"/>
      <c r="E1" s="15"/>
      <c r="F1" s="15"/>
      <c r="G1" s="15"/>
      <c r="H1" s="15"/>
    </row>
    <row r="2" spans="1:8">
      <c r="A2" s="16" t="s">
        <v>1</v>
      </c>
      <c r="B2" s="16"/>
      <c r="C2" s="16"/>
      <c r="D2" s="16"/>
      <c r="E2" s="16"/>
      <c r="F2" s="16"/>
      <c r="G2" s="16"/>
      <c r="H2" s="16"/>
    </row>
    <row r="3" spans="1:8" ht="28.5">
      <c r="A3" s="1" t="s">
        <v>2</v>
      </c>
      <c r="B3" s="1"/>
      <c r="C3" s="1"/>
      <c r="D3" s="1" t="s">
        <v>3</v>
      </c>
      <c r="E3" s="17"/>
      <c r="F3" s="17"/>
      <c r="G3" s="17"/>
      <c r="H3" s="17"/>
    </row>
    <row r="5" spans="1:8" ht="30">
      <c r="A5" s="4" t="s">
        <v>4</v>
      </c>
      <c r="B5" s="5" t="s">
        <v>5</v>
      </c>
      <c r="C5" s="5" t="s">
        <v>6</v>
      </c>
      <c r="D5" s="6" t="s">
        <v>7</v>
      </c>
    </row>
    <row r="6" spans="1:8" ht="23.25">
      <c r="A6" s="7">
        <v>0</v>
      </c>
      <c r="B6" s="3">
        <v>0</v>
      </c>
      <c r="C6" s="3">
        <v>0</v>
      </c>
      <c r="D6" s="8">
        <v>0</v>
      </c>
    </row>
    <row r="7" spans="1:8" ht="36">
      <c r="A7" s="9" t="s">
        <v>8</v>
      </c>
      <c r="B7" s="10" t="s">
        <v>9</v>
      </c>
      <c r="C7" s="10" t="s">
        <v>10</v>
      </c>
      <c r="D7" s="11" t="s">
        <v>11</v>
      </c>
    </row>
    <row r="8" spans="1:8" ht="18">
      <c r="A8" s="18" t="s">
        <v>12</v>
      </c>
      <c r="B8" s="18"/>
      <c r="C8" s="18"/>
      <c r="D8" s="18"/>
      <c r="E8" s="18"/>
      <c r="F8" s="18"/>
      <c r="G8" s="18"/>
      <c r="H8" s="18"/>
    </row>
    <row r="9" spans="1:8" ht="15">
      <c r="A9" s="19" t="s">
        <v>12</v>
      </c>
      <c r="B9" s="19"/>
      <c r="C9" s="19"/>
      <c r="D9" s="19"/>
      <c r="E9" s="19" t="s">
        <v>13</v>
      </c>
      <c r="F9" s="19"/>
      <c r="G9" s="19"/>
      <c r="H9" s="19"/>
    </row>
    <row r="10" spans="1:8" ht="23.25">
      <c r="A10" s="20">
        <f>IFERROR(VLOOKUP("VILLAVICENCIO",'Gestión por Ciudad'!$A$4:$F$10,3,FALSE),0)</f>
        <v>0</v>
      </c>
      <c r="B10" s="20"/>
      <c r="C10" s="20"/>
      <c r="D10" s="20"/>
      <c r="E10" s="20">
        <f>IFERROR(VLOOKUP("VILLAVICENCIO",'Gestión por Ciudad'!$A$4:$F$10,4,FALSE),0)</f>
        <v>0</v>
      </c>
      <c r="F10" s="20"/>
      <c r="G10" s="20"/>
      <c r="H10" s="20"/>
    </row>
    <row r="11" spans="1:8" ht="18">
      <c r="A11" s="18" t="s">
        <v>14</v>
      </c>
      <c r="B11" s="18"/>
      <c r="C11" s="18"/>
      <c r="D11" s="18"/>
      <c r="E11" s="18"/>
      <c r="F11" s="18"/>
      <c r="G11" s="18"/>
      <c r="H11" s="18"/>
    </row>
    <row r="12" spans="1:8" ht="15">
      <c r="A12" s="19" t="s">
        <v>14</v>
      </c>
      <c r="B12" s="19"/>
      <c r="C12" s="19"/>
      <c r="D12" s="19"/>
      <c r="E12" s="19" t="s">
        <v>15</v>
      </c>
      <c r="F12" s="19"/>
      <c r="G12" s="19"/>
      <c r="H12" s="19"/>
    </row>
    <row r="13" spans="1:8" ht="23.25">
      <c r="A13" s="20">
        <f>IFERROR(VLOOKUP("IBAGUE",'Gestión por Ciudad'!$A$4:$F$10,3,FALSE),0)</f>
        <v>0</v>
      </c>
      <c r="B13" s="20"/>
      <c r="C13" s="20"/>
      <c r="D13" s="20"/>
      <c r="E13" s="20">
        <f>IFERROR(VLOOKUP("IBAGUE",'Gestión por Ciudad'!$A$4:$F$10,4,FALSE),0)</f>
        <v>0</v>
      </c>
      <c r="F13" s="20"/>
      <c r="G13" s="20"/>
      <c r="H13" s="20"/>
    </row>
    <row r="15" spans="1:8">
      <c r="A15" s="21" t="s">
        <v>16</v>
      </c>
      <c r="B15" s="21"/>
      <c r="C15" s="21"/>
      <c r="D15" s="21"/>
      <c r="E15" s="21"/>
      <c r="F15" s="21"/>
      <c r="G15" s="21"/>
      <c r="H15" s="21"/>
    </row>
    <row r="16" spans="1:8">
      <c r="A16" s="21"/>
      <c r="B16" s="21"/>
      <c r="C16" s="21"/>
      <c r="D16" s="21"/>
      <c r="E16" s="21"/>
      <c r="F16" s="21"/>
      <c r="G16" s="21"/>
      <c r="H16" s="21"/>
    </row>
    <row r="36" spans="1:8">
      <c r="A36" s="22" t="s">
        <v>17</v>
      </c>
      <c r="B36" s="22"/>
      <c r="C36" s="22"/>
      <c r="D36" s="22"/>
      <c r="E36" s="22" t="s">
        <v>18</v>
      </c>
      <c r="F36" s="22"/>
      <c r="G36" s="22"/>
      <c r="H36" s="22"/>
    </row>
    <row r="37" spans="1:8">
      <c r="A37" s="22"/>
      <c r="B37" s="22"/>
      <c r="C37" s="22"/>
      <c r="D37" s="22"/>
      <c r="E37" s="22"/>
      <c r="F37" s="22"/>
      <c r="G37" s="22"/>
      <c r="H37" s="22"/>
    </row>
    <row r="56" spans="1:8">
      <c r="A56" s="22" t="s">
        <v>19</v>
      </c>
      <c r="B56" s="22"/>
      <c r="C56" s="22"/>
      <c r="D56" s="22"/>
      <c r="E56" s="22" t="s">
        <v>20</v>
      </c>
      <c r="F56" s="22"/>
      <c r="G56" s="22"/>
      <c r="H56" s="22"/>
    </row>
    <row r="57" spans="1:8">
      <c r="A57" s="22"/>
      <c r="B57" s="22"/>
      <c r="C57" s="22"/>
      <c r="D57" s="22"/>
      <c r="E57" s="22"/>
      <c r="F57" s="22"/>
      <c r="G57" s="22"/>
      <c r="H57" s="22"/>
    </row>
    <row r="76" spans="1:8">
      <c r="A76" s="22" t="s">
        <v>21</v>
      </c>
      <c r="B76" s="22"/>
      <c r="C76" s="22"/>
      <c r="D76" s="22"/>
      <c r="E76" s="22" t="s">
        <v>22</v>
      </c>
      <c r="F76" s="22"/>
      <c r="G76" s="22"/>
      <c r="H76" s="22"/>
    </row>
    <row r="77" spans="1:8">
      <c r="A77" s="22"/>
      <c r="B77" s="22"/>
      <c r="C77" s="22"/>
      <c r="D77" s="22"/>
      <c r="E77" s="22"/>
      <c r="F77" s="22"/>
      <c r="G77" s="22"/>
      <c r="H77" s="22"/>
    </row>
    <row r="96" spans="1:8">
      <c r="A96" s="22" t="s">
        <v>23</v>
      </c>
      <c r="B96" s="22"/>
      <c r="C96" s="22"/>
      <c r="D96" s="22"/>
      <c r="E96" s="22" t="s">
        <v>24</v>
      </c>
      <c r="F96" s="22"/>
      <c r="G96" s="22"/>
      <c r="H96" s="22"/>
    </row>
    <row r="97" spans="1:8">
      <c r="A97" s="22"/>
      <c r="B97" s="22"/>
      <c r="C97" s="22"/>
      <c r="D97" s="22"/>
      <c r="E97" s="22"/>
      <c r="F97" s="22"/>
      <c r="G97" s="22"/>
      <c r="H97" s="22"/>
    </row>
    <row r="116" spans="1:4">
      <c r="A116" s="22" t="s">
        <v>25</v>
      </c>
      <c r="B116" s="22"/>
      <c r="C116" s="22"/>
      <c r="D116" s="22"/>
    </row>
    <row r="117" spans="1:4">
      <c r="A117" s="22"/>
      <c r="B117" s="22"/>
      <c r="C117" s="22"/>
      <c r="D117" s="22"/>
    </row>
  </sheetData>
  <mergeCells count="23">
    <mergeCell ref="A116:D117"/>
    <mergeCell ref="A56:D57"/>
    <mergeCell ref="E56:H57"/>
    <mergeCell ref="A76:D77"/>
    <mergeCell ref="E76:H77"/>
    <mergeCell ref="A96:D97"/>
    <mergeCell ref="E96:H97"/>
    <mergeCell ref="A13:D13"/>
    <mergeCell ref="E13:H13"/>
    <mergeCell ref="A15:H16"/>
    <mergeCell ref="A36:D37"/>
    <mergeCell ref="E36:H37"/>
    <mergeCell ref="A10:D10"/>
    <mergeCell ref="E10:H10"/>
    <mergeCell ref="A11:H11"/>
    <mergeCell ref="A12:D12"/>
    <mergeCell ref="E12:H12"/>
    <mergeCell ref="A1:H1"/>
    <mergeCell ref="A2:H2"/>
    <mergeCell ref="E3:H3"/>
    <mergeCell ref="A8:H8"/>
    <mergeCell ref="A9:D9"/>
    <mergeCell ref="E9:H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54"/>
  <sheetViews>
    <sheetView workbookViewId="0"/>
  </sheetViews>
  <sheetFormatPr baseColWidth="10" defaultColWidth="9" defaultRowHeight="14.25"/>
  <sheetData>
    <row r="1" spans="1:33">
      <c r="A1" s="13" t="s">
        <v>26</v>
      </c>
      <c r="B1" s="13" t="s">
        <v>4</v>
      </c>
      <c r="C1" s="13"/>
      <c r="D1" s="13" t="s">
        <v>27</v>
      </c>
      <c r="E1" s="13" t="s">
        <v>28</v>
      </c>
      <c r="F1" s="13"/>
      <c r="G1" s="13" t="s">
        <v>29</v>
      </c>
      <c r="H1" s="13" t="s">
        <v>30</v>
      </c>
      <c r="I1" s="13"/>
      <c r="J1" s="13" t="s">
        <v>27</v>
      </c>
      <c r="K1" s="13" t="s">
        <v>31</v>
      </c>
      <c r="L1" s="13" t="s">
        <v>32</v>
      </c>
      <c r="M1" s="13" t="s">
        <v>33</v>
      </c>
      <c r="N1" s="13"/>
      <c r="O1" s="13" t="s">
        <v>26</v>
      </c>
      <c r="P1" s="13" t="s">
        <v>34</v>
      </c>
      <c r="Q1" s="13" t="s">
        <v>35</v>
      </c>
      <c r="R1" s="13"/>
      <c r="S1" s="13" t="s">
        <v>26</v>
      </c>
      <c r="T1" s="13" t="s">
        <v>28</v>
      </c>
      <c r="U1" s="13" t="s">
        <v>31</v>
      </c>
      <c r="V1" s="13" t="s">
        <v>32</v>
      </c>
      <c r="W1" s="13"/>
      <c r="X1" s="13" t="s">
        <v>36</v>
      </c>
      <c r="Y1" s="13" t="s">
        <v>28</v>
      </c>
      <c r="Z1" s="13" t="s">
        <v>37</v>
      </c>
      <c r="AA1" s="13"/>
      <c r="AB1" s="13" t="s">
        <v>36</v>
      </c>
      <c r="AC1" s="13" t="s">
        <v>28</v>
      </c>
      <c r="AD1" s="13" t="s">
        <v>37</v>
      </c>
      <c r="AE1" s="13"/>
      <c r="AF1" s="13" t="s">
        <v>38</v>
      </c>
      <c r="AG1" s="13" t="s">
        <v>39</v>
      </c>
    </row>
    <row r="2" spans="1:33">
      <c r="A2" s="12" t="s">
        <v>40</v>
      </c>
      <c r="B2" s="12">
        <v>0</v>
      </c>
      <c r="C2" s="12"/>
      <c r="D2" s="12" t="s">
        <v>41</v>
      </c>
      <c r="E2" s="12">
        <v>0</v>
      </c>
      <c r="F2" s="12"/>
      <c r="G2" s="12" t="s">
        <v>42</v>
      </c>
      <c r="H2" s="12">
        <v>0</v>
      </c>
      <c r="I2" s="12"/>
      <c r="J2" s="12" t="s">
        <v>41</v>
      </c>
      <c r="K2" s="12">
        <v>0</v>
      </c>
      <c r="L2" s="12">
        <v>0</v>
      </c>
      <c r="M2" s="12">
        <v>0</v>
      </c>
      <c r="N2" s="12"/>
      <c r="O2" s="12" t="s">
        <v>40</v>
      </c>
      <c r="P2" s="12">
        <v>0</v>
      </c>
      <c r="Q2" s="12">
        <v>0</v>
      </c>
      <c r="R2" s="12"/>
      <c r="S2" s="12" t="s">
        <v>40</v>
      </c>
      <c r="T2" s="12">
        <v>0</v>
      </c>
      <c r="U2" s="12">
        <v>0</v>
      </c>
      <c r="V2" s="12">
        <v>0</v>
      </c>
      <c r="W2" s="12"/>
      <c r="X2" s="12" t="s">
        <v>43</v>
      </c>
      <c r="Y2" s="12">
        <v>0</v>
      </c>
      <c r="Z2" s="12">
        <v>0</v>
      </c>
      <c r="AA2" s="12"/>
      <c r="AB2" s="12" t="s">
        <v>43</v>
      </c>
      <c r="AC2" s="12">
        <v>0</v>
      </c>
      <c r="AD2" s="12">
        <v>0</v>
      </c>
      <c r="AE2" s="12"/>
      <c r="AF2" s="12" t="s">
        <v>44</v>
      </c>
      <c r="AG2" s="12">
        <v>0</v>
      </c>
    </row>
    <row r="3" spans="1:33">
      <c r="A3" s="12" t="s">
        <v>45</v>
      </c>
      <c r="B3" s="12">
        <v>0</v>
      </c>
      <c r="C3" s="12"/>
      <c r="D3" s="12" t="s">
        <v>46</v>
      </c>
      <c r="E3" s="12">
        <v>0</v>
      </c>
      <c r="F3" s="12"/>
      <c r="G3" s="12" t="s">
        <v>47</v>
      </c>
      <c r="H3" s="12">
        <v>0</v>
      </c>
      <c r="I3" s="12"/>
      <c r="J3" s="12" t="s">
        <v>46</v>
      </c>
      <c r="K3" s="12">
        <v>0</v>
      </c>
      <c r="L3" s="12">
        <v>0</v>
      </c>
      <c r="M3" s="12">
        <v>0</v>
      </c>
      <c r="N3" s="12"/>
      <c r="O3" s="12" t="s">
        <v>45</v>
      </c>
      <c r="P3" s="12">
        <v>0</v>
      </c>
      <c r="Q3" s="12">
        <v>0</v>
      </c>
      <c r="R3" s="12"/>
      <c r="S3" s="12" t="s">
        <v>45</v>
      </c>
      <c r="T3" s="12">
        <v>0</v>
      </c>
      <c r="U3" s="12">
        <v>0</v>
      </c>
      <c r="V3" s="12">
        <v>0</v>
      </c>
      <c r="W3" s="12"/>
      <c r="X3" s="12" t="s">
        <v>48</v>
      </c>
      <c r="Y3" s="12">
        <v>0</v>
      </c>
      <c r="Z3" s="12">
        <v>0</v>
      </c>
      <c r="AA3" s="12"/>
      <c r="AB3" s="12" t="s">
        <v>48</v>
      </c>
      <c r="AC3" s="12">
        <v>0</v>
      </c>
      <c r="AD3" s="12">
        <v>0</v>
      </c>
      <c r="AE3" s="12"/>
      <c r="AF3" s="12" t="s">
        <v>49</v>
      </c>
      <c r="AG3" s="12">
        <v>0</v>
      </c>
    </row>
    <row r="4" spans="1:33">
      <c r="A4" s="12" t="s">
        <v>50</v>
      </c>
      <c r="B4" s="12">
        <v>0</v>
      </c>
      <c r="C4" s="12"/>
      <c r="D4" s="12"/>
      <c r="E4" s="12"/>
      <c r="F4" s="12"/>
      <c r="G4" s="12" t="s">
        <v>51</v>
      </c>
      <c r="H4" s="12">
        <v>0</v>
      </c>
      <c r="I4" s="12"/>
      <c r="J4" s="12"/>
      <c r="K4" s="12"/>
      <c r="L4" s="12"/>
      <c r="M4" s="12"/>
      <c r="N4" s="12"/>
      <c r="O4" s="12" t="s">
        <v>50</v>
      </c>
      <c r="P4" s="12">
        <v>0</v>
      </c>
      <c r="Q4" s="12">
        <v>0</v>
      </c>
      <c r="R4" s="12"/>
      <c r="S4" s="12" t="s">
        <v>50</v>
      </c>
      <c r="T4" s="12">
        <v>0</v>
      </c>
      <c r="U4" s="12">
        <v>0</v>
      </c>
      <c r="V4" s="12">
        <v>0</v>
      </c>
      <c r="W4" s="12"/>
      <c r="X4" s="12" t="s">
        <v>52</v>
      </c>
      <c r="Y4" s="12">
        <v>0</v>
      </c>
      <c r="Z4" s="12">
        <v>0</v>
      </c>
      <c r="AA4" s="12"/>
      <c r="AB4" s="12" t="s">
        <v>52</v>
      </c>
      <c r="AC4" s="12">
        <v>0</v>
      </c>
      <c r="AD4" s="12">
        <v>0</v>
      </c>
      <c r="AE4" s="12"/>
      <c r="AF4" s="12" t="s">
        <v>53</v>
      </c>
      <c r="AG4" s="12">
        <v>0</v>
      </c>
    </row>
    <row r="5" spans="1:33">
      <c r="A5" s="12" t="s">
        <v>54</v>
      </c>
      <c r="B5" s="12">
        <v>0</v>
      </c>
      <c r="C5" s="12"/>
      <c r="D5" s="12"/>
      <c r="E5" s="12"/>
      <c r="F5" s="12"/>
      <c r="G5" s="12" t="s">
        <v>55</v>
      </c>
      <c r="H5" s="12">
        <v>0</v>
      </c>
      <c r="I5" s="12"/>
      <c r="J5" s="12"/>
      <c r="K5" s="12"/>
      <c r="L5" s="12"/>
      <c r="M5" s="12"/>
      <c r="N5" s="12"/>
      <c r="O5" s="12" t="s">
        <v>54</v>
      </c>
      <c r="P5" s="12">
        <v>0</v>
      </c>
      <c r="Q5" s="12">
        <v>0</v>
      </c>
      <c r="R5" s="12"/>
      <c r="S5" s="12" t="s">
        <v>54</v>
      </c>
      <c r="T5" s="12">
        <v>0</v>
      </c>
      <c r="U5" s="12">
        <v>0</v>
      </c>
      <c r="V5" s="12">
        <v>0</v>
      </c>
      <c r="W5" s="12"/>
      <c r="X5" s="12" t="s">
        <v>56</v>
      </c>
      <c r="Y5" s="12">
        <v>0</v>
      </c>
      <c r="Z5" s="12">
        <v>0</v>
      </c>
      <c r="AA5" s="12"/>
      <c r="AB5" s="12" t="s">
        <v>56</v>
      </c>
      <c r="AC5" s="12">
        <v>0</v>
      </c>
      <c r="AD5" s="12">
        <v>0</v>
      </c>
      <c r="AE5" s="12"/>
      <c r="AF5" s="12"/>
      <c r="AG5" s="12"/>
    </row>
    <row r="6" spans="1:33">
      <c r="A6" s="12" t="s">
        <v>57</v>
      </c>
      <c r="B6" s="12">
        <v>0</v>
      </c>
      <c r="C6" s="12"/>
      <c r="D6" s="12"/>
      <c r="E6" s="12"/>
      <c r="F6" s="12"/>
      <c r="G6" s="12" t="s">
        <v>58</v>
      </c>
      <c r="H6" s="12">
        <v>0</v>
      </c>
      <c r="I6" s="12"/>
      <c r="J6" s="12"/>
      <c r="K6" s="12"/>
      <c r="L6" s="12"/>
      <c r="M6" s="12"/>
      <c r="N6" s="12"/>
      <c r="O6" s="12" t="s">
        <v>57</v>
      </c>
      <c r="P6" s="12">
        <v>0</v>
      </c>
      <c r="Q6" s="12">
        <v>0</v>
      </c>
      <c r="R6" s="12"/>
      <c r="S6" s="12" t="s">
        <v>57</v>
      </c>
      <c r="T6" s="12">
        <v>0</v>
      </c>
      <c r="U6" s="12">
        <v>0</v>
      </c>
      <c r="V6" s="12">
        <v>0</v>
      </c>
      <c r="W6" s="12"/>
      <c r="X6" s="12" t="s">
        <v>59</v>
      </c>
      <c r="Y6" s="12">
        <v>0</v>
      </c>
      <c r="Z6" s="12">
        <v>0</v>
      </c>
      <c r="AA6" s="12"/>
      <c r="AB6" s="12" t="s">
        <v>59</v>
      </c>
      <c r="AC6" s="12">
        <v>0</v>
      </c>
      <c r="AD6" s="12">
        <v>0</v>
      </c>
      <c r="AE6" s="12"/>
      <c r="AF6" s="12"/>
      <c r="AG6" s="12"/>
    </row>
    <row r="7" spans="1:33">
      <c r="A7" s="12" t="s">
        <v>60</v>
      </c>
      <c r="B7" s="12">
        <v>0</v>
      </c>
      <c r="C7" s="12"/>
      <c r="D7" s="12"/>
      <c r="E7" s="12"/>
      <c r="F7" s="12"/>
      <c r="G7" s="12" t="s">
        <v>61</v>
      </c>
      <c r="H7" s="12">
        <v>0</v>
      </c>
      <c r="I7" s="12"/>
      <c r="J7" s="12"/>
      <c r="K7" s="12"/>
      <c r="L7" s="12"/>
      <c r="M7" s="12"/>
      <c r="N7" s="12"/>
      <c r="O7" s="12" t="s">
        <v>60</v>
      </c>
      <c r="P7" s="12">
        <v>0</v>
      </c>
      <c r="Q7" s="12">
        <v>0</v>
      </c>
      <c r="R7" s="12"/>
      <c r="S7" s="12" t="s">
        <v>60</v>
      </c>
      <c r="T7" s="12">
        <v>0</v>
      </c>
      <c r="U7" s="12">
        <v>0</v>
      </c>
      <c r="V7" s="12">
        <v>0</v>
      </c>
      <c r="W7" s="12"/>
      <c r="X7" s="12" t="s">
        <v>62</v>
      </c>
      <c r="Y7" s="12">
        <v>0</v>
      </c>
      <c r="Z7" s="12">
        <v>0</v>
      </c>
      <c r="AA7" s="12"/>
      <c r="AB7" s="12" t="s">
        <v>62</v>
      </c>
      <c r="AC7" s="12">
        <v>0</v>
      </c>
      <c r="AD7" s="12">
        <v>0</v>
      </c>
      <c r="AE7" s="12"/>
      <c r="AF7" s="12"/>
      <c r="AG7" s="12"/>
    </row>
    <row r="8" spans="1:33">
      <c r="A8" s="12" t="s">
        <v>63</v>
      </c>
      <c r="B8" s="12">
        <v>0</v>
      </c>
      <c r="C8" s="12"/>
      <c r="D8" s="12"/>
      <c r="E8" s="12"/>
      <c r="F8" s="12"/>
      <c r="G8" s="12" t="s">
        <v>64</v>
      </c>
      <c r="H8" s="12">
        <v>0</v>
      </c>
      <c r="I8" s="12"/>
      <c r="J8" s="12"/>
      <c r="K8" s="12"/>
      <c r="L8" s="12"/>
      <c r="M8" s="12"/>
      <c r="N8" s="12"/>
      <c r="O8" s="12" t="s">
        <v>63</v>
      </c>
      <c r="P8" s="12">
        <v>0</v>
      </c>
      <c r="Q8" s="12">
        <v>0</v>
      </c>
      <c r="R8" s="12"/>
      <c r="S8" s="12" t="s">
        <v>63</v>
      </c>
      <c r="T8" s="12">
        <v>0</v>
      </c>
      <c r="U8" s="12">
        <v>0</v>
      </c>
      <c r="V8" s="12">
        <v>0</v>
      </c>
      <c r="W8" s="12"/>
      <c r="X8" s="12" t="s">
        <v>65</v>
      </c>
      <c r="Y8" s="12">
        <v>0</v>
      </c>
      <c r="Z8" s="12">
        <v>0</v>
      </c>
      <c r="AA8" s="12"/>
      <c r="AB8" s="12" t="s">
        <v>65</v>
      </c>
      <c r="AC8" s="12">
        <v>0</v>
      </c>
      <c r="AD8" s="12">
        <v>0</v>
      </c>
      <c r="AE8" s="12"/>
      <c r="AF8" s="12"/>
      <c r="AG8" s="12"/>
    </row>
    <row r="9" spans="1:33">
      <c r="A9" s="12" t="s">
        <v>66</v>
      </c>
      <c r="B9" s="12">
        <v>0</v>
      </c>
      <c r="C9" s="12"/>
      <c r="D9" s="12"/>
      <c r="E9" s="12"/>
      <c r="F9" s="12"/>
      <c r="G9" s="12" t="s">
        <v>67</v>
      </c>
      <c r="H9" s="12">
        <v>0</v>
      </c>
      <c r="I9" s="12"/>
      <c r="J9" s="12"/>
      <c r="K9" s="12"/>
      <c r="L9" s="12"/>
      <c r="M9" s="12"/>
      <c r="N9" s="12"/>
      <c r="O9" s="12" t="s">
        <v>66</v>
      </c>
      <c r="P9" s="12">
        <v>0</v>
      </c>
      <c r="Q9" s="12">
        <v>0</v>
      </c>
      <c r="R9" s="12"/>
      <c r="S9" s="12" t="s">
        <v>66</v>
      </c>
      <c r="T9" s="12">
        <v>0</v>
      </c>
      <c r="U9" s="12">
        <v>0</v>
      </c>
      <c r="V9" s="12">
        <v>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spans="1:33">
      <c r="A10" s="12" t="s">
        <v>68</v>
      </c>
      <c r="B10" s="12">
        <v>0</v>
      </c>
      <c r="C10" s="12"/>
      <c r="D10" s="12"/>
      <c r="E10" s="12"/>
      <c r="F10" s="12"/>
      <c r="G10" s="12" t="s">
        <v>69</v>
      </c>
      <c r="H10" s="12">
        <v>0</v>
      </c>
      <c r="I10" s="12"/>
      <c r="J10" s="12"/>
      <c r="K10" s="12"/>
      <c r="L10" s="12"/>
      <c r="M10" s="12"/>
      <c r="N10" s="12"/>
      <c r="O10" s="12" t="s">
        <v>68</v>
      </c>
      <c r="P10" s="12">
        <v>0</v>
      </c>
      <c r="Q10" s="12">
        <v>0</v>
      </c>
      <c r="R10" s="12"/>
      <c r="S10" s="12" t="s">
        <v>68</v>
      </c>
      <c r="T10" s="12">
        <v>0</v>
      </c>
      <c r="U10" s="12">
        <v>0</v>
      </c>
      <c r="V10" s="12">
        <v>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pans="1:33">
      <c r="A11" s="12" t="s">
        <v>70</v>
      </c>
      <c r="B11" s="12">
        <v>0</v>
      </c>
      <c r="C11" s="12"/>
      <c r="D11" s="12"/>
      <c r="E11" s="12"/>
      <c r="F11" s="12"/>
      <c r="G11" s="12" t="s">
        <v>71</v>
      </c>
      <c r="H11" s="12">
        <v>0</v>
      </c>
      <c r="I11" s="12"/>
      <c r="J11" s="12"/>
      <c r="K11" s="12"/>
      <c r="L11" s="12"/>
      <c r="M11" s="12"/>
      <c r="N11" s="12"/>
      <c r="O11" s="12" t="s">
        <v>70</v>
      </c>
      <c r="P11" s="12">
        <v>0</v>
      </c>
      <c r="Q11" s="12">
        <v>0</v>
      </c>
      <c r="R11" s="12"/>
      <c r="S11" s="12" t="s">
        <v>70</v>
      </c>
      <c r="T11" s="12">
        <v>0</v>
      </c>
      <c r="U11" s="12">
        <v>0</v>
      </c>
      <c r="V11" s="12">
        <v>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1:33">
      <c r="A12" s="12" t="s">
        <v>72</v>
      </c>
      <c r="B12" s="12">
        <v>0</v>
      </c>
      <c r="C12" s="12"/>
      <c r="D12" s="12"/>
      <c r="E12" s="12"/>
      <c r="F12" s="12"/>
      <c r="G12" s="12" t="s">
        <v>73</v>
      </c>
      <c r="H12" s="12">
        <v>0</v>
      </c>
      <c r="I12" s="12"/>
      <c r="J12" s="12"/>
      <c r="K12" s="12"/>
      <c r="L12" s="12"/>
      <c r="M12" s="12"/>
      <c r="N12" s="12"/>
      <c r="O12" s="12" t="s">
        <v>72</v>
      </c>
      <c r="P12" s="12">
        <v>0</v>
      </c>
      <c r="Q12" s="12">
        <v>0</v>
      </c>
      <c r="R12" s="12"/>
      <c r="S12" s="12" t="s">
        <v>72</v>
      </c>
      <c r="T12" s="12">
        <v>0</v>
      </c>
      <c r="U12" s="12">
        <v>0</v>
      </c>
      <c r="V12" s="12">
        <v>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pans="1:33">
      <c r="A13" s="12" t="s">
        <v>74</v>
      </c>
      <c r="B13" s="12">
        <v>0</v>
      </c>
      <c r="C13" s="12"/>
      <c r="D13" s="12"/>
      <c r="E13" s="12"/>
      <c r="F13" s="12"/>
      <c r="G13" s="12" t="s">
        <v>75</v>
      </c>
      <c r="H13" s="12">
        <v>0</v>
      </c>
      <c r="I13" s="12"/>
      <c r="J13" s="12"/>
      <c r="K13" s="12"/>
      <c r="L13" s="12"/>
      <c r="M13" s="12"/>
      <c r="N13" s="12"/>
      <c r="O13" s="12" t="s">
        <v>74</v>
      </c>
      <c r="P13" s="12">
        <v>0</v>
      </c>
      <c r="Q13" s="12">
        <v>0</v>
      </c>
      <c r="R13" s="12"/>
      <c r="S13" s="12" t="s">
        <v>74</v>
      </c>
      <c r="T13" s="12">
        <v>0</v>
      </c>
      <c r="U13" s="12">
        <v>0</v>
      </c>
      <c r="V13" s="12">
        <v>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pans="1:33">
      <c r="A14" s="12"/>
      <c r="B14" s="12"/>
      <c r="C14" s="12"/>
      <c r="D14" s="12"/>
      <c r="E14" s="12"/>
      <c r="F14" s="12"/>
      <c r="G14" s="12" t="s">
        <v>76</v>
      </c>
      <c r="H14" s="12">
        <v>0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>
      <c r="A15" s="12"/>
      <c r="B15" s="12"/>
      <c r="C15" s="12"/>
      <c r="D15" s="12"/>
      <c r="E15" s="12"/>
      <c r="F15" s="12"/>
      <c r="G15" s="12" t="s">
        <v>77</v>
      </c>
      <c r="H15" s="12">
        <v>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 spans="1:33">
      <c r="A16" s="12"/>
      <c r="B16" s="12"/>
      <c r="C16" s="12"/>
      <c r="D16" s="12"/>
      <c r="E16" s="12"/>
      <c r="F16" s="12"/>
      <c r="G16" s="12" t="s">
        <v>78</v>
      </c>
      <c r="H16" s="12">
        <v>0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 spans="1:33">
      <c r="A17" s="12"/>
      <c r="B17" s="12"/>
      <c r="C17" s="12"/>
      <c r="D17" s="12"/>
      <c r="E17" s="12"/>
      <c r="F17" s="12"/>
      <c r="G17" s="12" t="s">
        <v>79</v>
      </c>
      <c r="H17" s="12">
        <v>0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 spans="1:33">
      <c r="A18" s="12"/>
      <c r="B18" s="12"/>
      <c r="C18" s="12"/>
      <c r="D18" s="12"/>
      <c r="E18" s="12"/>
      <c r="F18" s="12"/>
      <c r="G18" s="12" t="s">
        <v>80</v>
      </c>
      <c r="H18" s="12">
        <v>0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 spans="1:33">
      <c r="A19" s="12"/>
      <c r="B19" s="12"/>
      <c r="C19" s="12"/>
      <c r="D19" s="12"/>
      <c r="E19" s="12"/>
      <c r="F19" s="12"/>
      <c r="G19" s="12" t="s">
        <v>81</v>
      </c>
      <c r="H19" s="12">
        <v>0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 spans="1:33">
      <c r="A20" s="12"/>
      <c r="B20" s="12"/>
      <c r="C20" s="12"/>
      <c r="D20" s="12"/>
      <c r="E20" s="12"/>
      <c r="F20" s="12"/>
      <c r="G20" s="12" t="s">
        <v>82</v>
      </c>
      <c r="H20" s="12">
        <v>0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spans="1:33">
      <c r="A21" s="12"/>
      <c r="B21" s="12"/>
      <c r="C21" s="12"/>
      <c r="D21" s="12"/>
      <c r="E21" s="12"/>
      <c r="F21" s="12"/>
      <c r="G21" s="12" t="s">
        <v>83</v>
      </c>
      <c r="H21" s="12">
        <v>0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spans="1:33">
      <c r="A22" s="12"/>
      <c r="B22" s="12"/>
      <c r="C22" s="12"/>
      <c r="D22" s="12"/>
      <c r="E22" s="12"/>
      <c r="F22" s="12"/>
      <c r="G22" s="12" t="s">
        <v>84</v>
      </c>
      <c r="H22" s="12">
        <v>0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spans="1:33">
      <c r="A23" s="12"/>
      <c r="B23" s="12"/>
      <c r="C23" s="12"/>
      <c r="D23" s="12"/>
      <c r="E23" s="12"/>
      <c r="F23" s="12"/>
      <c r="G23" s="12" t="s">
        <v>85</v>
      </c>
      <c r="H23" s="12">
        <v>0</v>
      </c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spans="1:33">
      <c r="A24" s="12"/>
      <c r="B24" s="12"/>
      <c r="C24" s="12"/>
      <c r="D24" s="12"/>
      <c r="E24" s="12"/>
      <c r="F24" s="12"/>
      <c r="G24" s="12" t="s">
        <v>86</v>
      </c>
      <c r="H24" s="12">
        <v>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spans="1:33">
      <c r="A25" s="12"/>
      <c r="B25" s="12"/>
      <c r="C25" s="12"/>
      <c r="D25" s="12"/>
      <c r="E25" s="12"/>
      <c r="F25" s="12"/>
      <c r="G25" s="12" t="s">
        <v>87</v>
      </c>
      <c r="H25" s="12">
        <v>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spans="1:33">
      <c r="A26" s="12"/>
      <c r="B26" s="12"/>
      <c r="C26" s="12"/>
      <c r="D26" s="12"/>
      <c r="E26" s="12"/>
      <c r="F26" s="12"/>
      <c r="G26" s="12" t="s">
        <v>88</v>
      </c>
      <c r="H26" s="12">
        <v>0</v>
      </c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spans="1:33">
      <c r="A27" s="12"/>
      <c r="B27" s="12"/>
      <c r="C27" s="12"/>
      <c r="D27" s="12"/>
      <c r="E27" s="12"/>
      <c r="F27" s="12"/>
      <c r="G27" s="12" t="s">
        <v>89</v>
      </c>
      <c r="H27" s="12">
        <v>0</v>
      </c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spans="1:33">
      <c r="A28" s="12"/>
      <c r="B28" s="12"/>
      <c r="C28" s="12"/>
      <c r="D28" s="12"/>
      <c r="E28" s="12"/>
      <c r="F28" s="12"/>
      <c r="G28" s="12" t="s">
        <v>90</v>
      </c>
      <c r="H28" s="12">
        <v>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spans="1:33">
      <c r="A29" s="12"/>
      <c r="B29" s="12"/>
      <c r="C29" s="12"/>
      <c r="D29" s="12"/>
      <c r="E29" s="12"/>
      <c r="F29" s="12"/>
      <c r="G29" s="12" t="s">
        <v>91</v>
      </c>
      <c r="H29" s="12">
        <v>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spans="1:33">
      <c r="A30" s="12"/>
      <c r="B30" s="12"/>
      <c r="C30" s="12"/>
      <c r="D30" s="12"/>
      <c r="E30" s="12"/>
      <c r="F30" s="12"/>
      <c r="G30" s="12" t="s">
        <v>92</v>
      </c>
      <c r="H30" s="12">
        <v>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spans="1:33">
      <c r="A31" s="12"/>
      <c r="B31" s="12"/>
      <c r="C31" s="12"/>
      <c r="D31" s="12"/>
      <c r="E31" s="12"/>
      <c r="F31" s="12"/>
      <c r="G31" s="12" t="s">
        <v>93</v>
      </c>
      <c r="H31" s="12">
        <v>0</v>
      </c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spans="1:33">
      <c r="A32" s="12"/>
      <c r="B32" s="12"/>
      <c r="C32" s="12"/>
      <c r="D32" s="12"/>
      <c r="E32" s="12"/>
      <c r="F32" s="12"/>
      <c r="G32" s="12" t="s">
        <v>94</v>
      </c>
      <c r="H32" s="12">
        <v>0</v>
      </c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spans="1:33">
      <c r="A33" s="12"/>
      <c r="B33" s="12"/>
      <c r="C33" s="12"/>
      <c r="D33" s="12"/>
      <c r="E33" s="12"/>
      <c r="F33" s="12"/>
      <c r="G33" s="12" t="s">
        <v>95</v>
      </c>
      <c r="H33" s="12">
        <v>0</v>
      </c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spans="1:33">
      <c r="A34" s="12"/>
      <c r="B34" s="12"/>
      <c r="C34" s="12"/>
      <c r="D34" s="12"/>
      <c r="E34" s="12"/>
      <c r="F34" s="12"/>
      <c r="G34" s="12" t="s">
        <v>96</v>
      </c>
      <c r="H34" s="12">
        <v>0</v>
      </c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spans="1:33">
      <c r="A35" s="12"/>
      <c r="B35" s="12"/>
      <c r="C35" s="12"/>
      <c r="D35" s="12"/>
      <c r="E35" s="12"/>
      <c r="F35" s="12"/>
      <c r="G35" s="12" t="s">
        <v>97</v>
      </c>
      <c r="H35" s="12">
        <v>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spans="1:33">
      <c r="A36" s="12"/>
      <c r="B36" s="12"/>
      <c r="C36" s="12"/>
      <c r="D36" s="12"/>
      <c r="E36" s="12"/>
      <c r="F36" s="12"/>
      <c r="G36" s="12" t="s">
        <v>98</v>
      </c>
      <c r="H36" s="12">
        <v>0</v>
      </c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spans="1:33">
      <c r="A37" s="12"/>
      <c r="B37" s="12"/>
      <c r="C37" s="12"/>
      <c r="D37" s="12"/>
      <c r="E37" s="12"/>
      <c r="F37" s="12"/>
      <c r="G37" s="12" t="s">
        <v>99</v>
      </c>
      <c r="H37" s="12">
        <v>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spans="1:33">
      <c r="A38" s="12"/>
      <c r="B38" s="12"/>
      <c r="C38" s="12"/>
      <c r="D38" s="12"/>
      <c r="E38" s="12"/>
      <c r="F38" s="12"/>
      <c r="G38" s="12" t="s">
        <v>100</v>
      </c>
      <c r="H38" s="12">
        <v>0</v>
      </c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spans="1:33">
      <c r="A39" s="12"/>
      <c r="B39" s="12"/>
      <c r="C39" s="12"/>
      <c r="D39" s="12"/>
      <c r="E39" s="12"/>
      <c r="F39" s="12"/>
      <c r="G39" s="12" t="s">
        <v>101</v>
      </c>
      <c r="H39" s="12">
        <v>0</v>
      </c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spans="1:33">
      <c r="A40" s="12"/>
      <c r="B40" s="12"/>
      <c r="C40" s="12"/>
      <c r="D40" s="12"/>
      <c r="E40" s="12"/>
      <c r="F40" s="12"/>
      <c r="G40" s="12" t="s">
        <v>102</v>
      </c>
      <c r="H40" s="12">
        <v>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spans="1:33">
      <c r="A41" s="12"/>
      <c r="B41" s="12"/>
      <c r="C41" s="12"/>
      <c r="D41" s="12"/>
      <c r="E41" s="12"/>
      <c r="F41" s="12"/>
      <c r="G41" s="12" t="s">
        <v>103</v>
      </c>
      <c r="H41" s="12">
        <v>0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spans="1:33">
      <c r="A42" s="12"/>
      <c r="B42" s="12"/>
      <c r="C42" s="12"/>
      <c r="D42" s="12"/>
      <c r="E42" s="12"/>
      <c r="F42" s="12"/>
      <c r="G42" s="12" t="s">
        <v>104</v>
      </c>
      <c r="H42" s="12">
        <v>0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spans="1:33">
      <c r="A43" s="12"/>
      <c r="B43" s="12"/>
      <c r="C43" s="12"/>
      <c r="D43" s="12"/>
      <c r="E43" s="12"/>
      <c r="F43" s="12"/>
      <c r="G43" s="12" t="s">
        <v>105</v>
      </c>
      <c r="H43" s="12">
        <v>0</v>
      </c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spans="1:33">
      <c r="A44" s="12"/>
      <c r="B44" s="12"/>
      <c r="C44" s="12"/>
      <c r="D44" s="12"/>
      <c r="E44" s="12"/>
      <c r="F44" s="12"/>
      <c r="G44" s="12" t="s">
        <v>106</v>
      </c>
      <c r="H44" s="12">
        <v>0</v>
      </c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spans="1:33">
      <c r="A45" s="12"/>
      <c r="B45" s="12"/>
      <c r="C45" s="12"/>
      <c r="D45" s="12"/>
      <c r="E45" s="12"/>
      <c r="F45" s="12"/>
      <c r="G45" s="12" t="s">
        <v>107</v>
      </c>
      <c r="H45" s="12">
        <v>0</v>
      </c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spans="1:33">
      <c r="A46" s="12"/>
      <c r="B46" s="12"/>
      <c r="C46" s="12"/>
      <c r="D46" s="12"/>
      <c r="E46" s="12"/>
      <c r="F46" s="12"/>
      <c r="G46" s="12" t="s">
        <v>108</v>
      </c>
      <c r="H46" s="12">
        <v>0</v>
      </c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spans="1:33">
      <c r="A47" s="12"/>
      <c r="B47" s="12"/>
      <c r="C47" s="12"/>
      <c r="D47" s="12"/>
      <c r="E47" s="12"/>
      <c r="F47" s="12"/>
      <c r="G47" s="12" t="s">
        <v>109</v>
      </c>
      <c r="H47" s="12">
        <v>0</v>
      </c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spans="1:33">
      <c r="A48" s="12"/>
      <c r="B48" s="12"/>
      <c r="C48" s="12"/>
      <c r="D48" s="12"/>
      <c r="E48" s="12"/>
      <c r="F48" s="12"/>
      <c r="G48" s="12" t="s">
        <v>110</v>
      </c>
      <c r="H48" s="12">
        <v>0</v>
      </c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spans="1:33">
      <c r="A49" s="12"/>
      <c r="B49" s="12"/>
      <c r="C49" s="12"/>
      <c r="D49" s="12"/>
      <c r="E49" s="12"/>
      <c r="F49" s="12"/>
      <c r="G49" s="12" t="s">
        <v>111</v>
      </c>
      <c r="H49" s="12">
        <v>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spans="1:33">
      <c r="A50" s="12"/>
      <c r="B50" s="12"/>
      <c r="C50" s="12"/>
      <c r="D50" s="12"/>
      <c r="E50" s="12"/>
      <c r="F50" s="12"/>
      <c r="G50" s="12" t="s">
        <v>112</v>
      </c>
      <c r="H50" s="12">
        <v>0</v>
      </c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spans="1:33">
      <c r="A51" s="12"/>
      <c r="B51" s="12"/>
      <c r="C51" s="12"/>
      <c r="D51" s="12"/>
      <c r="E51" s="12"/>
      <c r="F51" s="12"/>
      <c r="G51" s="12" t="s">
        <v>113</v>
      </c>
      <c r="H51" s="12">
        <v>0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spans="1:33">
      <c r="A52" s="12"/>
      <c r="B52" s="12"/>
      <c r="C52" s="12"/>
      <c r="D52" s="12"/>
      <c r="E52" s="12"/>
      <c r="F52" s="12"/>
      <c r="G52" s="12" t="s">
        <v>114</v>
      </c>
      <c r="H52" s="12">
        <v>0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spans="1:33">
      <c r="A53" s="12"/>
      <c r="B53" s="12"/>
      <c r="C53" s="12"/>
      <c r="D53" s="12"/>
      <c r="E53" s="12"/>
      <c r="F53" s="12"/>
      <c r="G53" s="12" t="s">
        <v>115</v>
      </c>
      <c r="H53" s="12">
        <v>0</v>
      </c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spans="1:33">
      <c r="A54" s="12"/>
      <c r="B54" s="12"/>
      <c r="C54" s="12"/>
      <c r="D54" s="12"/>
      <c r="E54" s="12"/>
      <c r="F54" s="12"/>
      <c r="G54" s="12" t="s">
        <v>116</v>
      </c>
      <c r="H54" s="12">
        <v>0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workbookViewId="0">
      <selection sqref="A1:G1"/>
    </sheetView>
  </sheetViews>
  <sheetFormatPr baseColWidth="10" defaultColWidth="9" defaultRowHeight="14.25"/>
  <cols>
    <col min="1" max="1" width="69.125" customWidth="1"/>
    <col min="2" max="2" width="17.875" customWidth="1"/>
    <col min="3" max="3" width="14" customWidth="1"/>
    <col min="4" max="4" width="16.5" customWidth="1"/>
    <col min="5" max="5" width="17.375" customWidth="1"/>
    <col min="6" max="6" width="16.875" customWidth="1"/>
    <col min="7" max="7" width="12.5" customWidth="1"/>
  </cols>
  <sheetData>
    <row r="1" spans="1:7" ht="23.25">
      <c r="A1" s="23" t="s">
        <v>117</v>
      </c>
      <c r="B1" s="23"/>
      <c r="C1" s="23"/>
      <c r="D1" s="23"/>
      <c r="E1" s="23"/>
      <c r="F1" s="23"/>
      <c r="G1" s="23"/>
    </row>
    <row r="2" spans="1:7">
      <c r="A2" s="17" t="s">
        <v>118</v>
      </c>
      <c r="B2" s="17"/>
      <c r="C2" s="17"/>
      <c r="D2" s="17"/>
      <c r="E2" s="17"/>
      <c r="F2" s="17"/>
      <c r="G2" s="17"/>
    </row>
    <row r="3" spans="1:7">
      <c r="A3" s="1"/>
      <c r="B3" s="1"/>
      <c r="C3" s="1"/>
      <c r="D3" s="1"/>
      <c r="E3" s="1"/>
      <c r="F3" s="1"/>
      <c r="G3" s="1"/>
    </row>
    <row r="4" spans="1:7" ht="30">
      <c r="A4" s="2" t="s">
        <v>26</v>
      </c>
      <c r="B4" s="2" t="s">
        <v>4</v>
      </c>
      <c r="C4" s="2" t="s">
        <v>119</v>
      </c>
      <c r="D4" s="2" t="s">
        <v>34</v>
      </c>
      <c r="E4" s="2" t="s">
        <v>120</v>
      </c>
      <c r="F4" s="2" t="s">
        <v>121</v>
      </c>
      <c r="G4" s="2" t="s">
        <v>122</v>
      </c>
    </row>
    <row r="5" spans="1:7">
      <c r="A5" s="1" t="s">
        <v>40</v>
      </c>
      <c r="B5" s="1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</row>
    <row r="6" spans="1:7">
      <c r="A6" s="1" t="s">
        <v>45</v>
      </c>
      <c r="B6" s="1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</row>
    <row r="7" spans="1:7">
      <c r="A7" s="1" t="s">
        <v>50</v>
      </c>
      <c r="B7" s="1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</row>
    <row r="8" spans="1:7">
      <c r="A8" s="1" t="s">
        <v>54</v>
      </c>
      <c r="B8" s="1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</row>
    <row r="9" spans="1:7">
      <c r="A9" s="1" t="s">
        <v>57</v>
      </c>
      <c r="B9" s="1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</row>
    <row r="10" spans="1:7">
      <c r="A10" s="1" t="s">
        <v>60</v>
      </c>
      <c r="B10" s="1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</row>
    <row r="11" spans="1:7">
      <c r="A11" s="1" t="s">
        <v>63</v>
      </c>
      <c r="B11" s="1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</row>
    <row r="12" spans="1:7">
      <c r="A12" s="1" t="s">
        <v>66</v>
      </c>
      <c r="B12" s="1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</row>
    <row r="13" spans="1:7">
      <c r="A13" s="1" t="s">
        <v>68</v>
      </c>
      <c r="B13" s="1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</row>
    <row r="14" spans="1:7">
      <c r="A14" s="1" t="s">
        <v>70</v>
      </c>
      <c r="B14" s="1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</row>
    <row r="15" spans="1:7">
      <c r="A15" s="1" t="s">
        <v>72</v>
      </c>
      <c r="B15" s="1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</row>
    <row r="16" spans="1:7">
      <c r="A16" s="1" t="s">
        <v>74</v>
      </c>
      <c r="B16" s="1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sqref="A1:D1"/>
    </sheetView>
  </sheetViews>
  <sheetFormatPr baseColWidth="10" defaultColWidth="9" defaultRowHeight="14.25"/>
  <cols>
    <col min="1" max="1" width="45.375" customWidth="1"/>
    <col min="2" max="2" width="10.375" customWidth="1"/>
    <col min="3" max="3" width="18.75" customWidth="1"/>
    <col min="4" max="4" width="12.5" customWidth="1"/>
  </cols>
  <sheetData>
    <row r="1" spans="1:4" ht="23.25">
      <c r="A1" s="23" t="s">
        <v>123</v>
      </c>
      <c r="B1" s="23"/>
      <c r="C1" s="23"/>
      <c r="D1" s="23"/>
    </row>
    <row r="2" spans="1:4">
      <c r="A2" s="1"/>
      <c r="B2" s="1"/>
      <c r="C2" s="1"/>
      <c r="D2" s="1"/>
    </row>
    <row r="3" spans="1:4" ht="30">
      <c r="A3" s="2" t="s">
        <v>124</v>
      </c>
      <c r="B3" s="2" t="s">
        <v>125</v>
      </c>
      <c r="C3" s="2" t="s">
        <v>126</v>
      </c>
      <c r="D3" s="2" t="s">
        <v>127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workbookViewId="0">
      <selection sqref="A1:G1"/>
    </sheetView>
  </sheetViews>
  <sheetFormatPr baseColWidth="10" defaultColWidth="9" defaultRowHeight="14.25"/>
  <cols>
    <col min="1" max="1" width="45.375" customWidth="1"/>
    <col min="2" max="2" width="17.875" customWidth="1"/>
    <col min="3" max="3" width="9.125" customWidth="1"/>
    <col min="4" max="4" width="11.5" customWidth="1"/>
    <col min="5" max="5" width="17.375" customWidth="1"/>
    <col min="6" max="6" width="17" customWidth="1"/>
    <col min="7" max="7" width="13.5" customWidth="1"/>
  </cols>
  <sheetData>
    <row r="1" spans="1:7" ht="23.25">
      <c r="A1" s="23" t="s">
        <v>128</v>
      </c>
      <c r="B1" s="23"/>
      <c r="C1" s="23"/>
      <c r="D1" s="23"/>
      <c r="E1" s="23"/>
      <c r="F1" s="23"/>
      <c r="G1" s="23"/>
    </row>
    <row r="2" spans="1:7">
      <c r="A2" s="1"/>
      <c r="B2" s="1"/>
      <c r="C2" s="1"/>
      <c r="D2" s="1"/>
      <c r="E2" s="1"/>
      <c r="F2" s="1"/>
      <c r="G2" s="1"/>
    </row>
    <row r="3" spans="1:7" ht="30">
      <c r="A3" s="2" t="s">
        <v>27</v>
      </c>
      <c r="B3" s="2" t="s">
        <v>4</v>
      </c>
      <c r="C3" s="2" t="s">
        <v>31</v>
      </c>
      <c r="D3" s="2" t="s">
        <v>32</v>
      </c>
      <c r="E3" s="2" t="s">
        <v>120</v>
      </c>
      <c r="F3" s="2" t="s">
        <v>129</v>
      </c>
      <c r="G3" s="2" t="s">
        <v>130</v>
      </c>
    </row>
    <row r="4" spans="1:7">
      <c r="A4" s="1" t="s">
        <v>41</v>
      </c>
      <c r="B4" s="1">
        <v>0</v>
      </c>
      <c r="C4" s="14">
        <v>0</v>
      </c>
      <c r="D4" s="14">
        <v>0</v>
      </c>
      <c r="E4" s="14">
        <v>0</v>
      </c>
      <c r="F4" s="14">
        <v>0</v>
      </c>
      <c r="G4" s="1"/>
    </row>
    <row r="5" spans="1:7">
      <c r="A5" s="1" t="s">
        <v>46</v>
      </c>
      <c r="B5" s="1">
        <v>0</v>
      </c>
      <c r="C5" s="14">
        <v>0</v>
      </c>
      <c r="D5" s="14">
        <v>0</v>
      </c>
      <c r="E5" s="14">
        <v>0</v>
      </c>
      <c r="F5" s="14">
        <v>0</v>
      </c>
      <c r="G5" s="1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"/>
  <sheetViews>
    <sheetView workbookViewId="0">
      <selection sqref="A1:L1"/>
    </sheetView>
  </sheetViews>
  <sheetFormatPr baseColWidth="10" defaultColWidth="9" defaultRowHeight="14.25"/>
  <cols>
    <col min="1" max="1" width="52.875" customWidth="1"/>
    <col min="2" max="2" width="5.875" customWidth="1"/>
    <col min="3" max="3" width="7.75" customWidth="1"/>
    <col min="4" max="4" width="6.375" customWidth="1"/>
    <col min="5" max="5" width="5.875" customWidth="1"/>
    <col min="6" max="6" width="5.625" customWidth="1"/>
    <col min="7" max="7" width="10.875" customWidth="1"/>
    <col min="8" max="8" width="12.75" customWidth="1"/>
    <col min="9" max="9" width="9.125" customWidth="1"/>
    <col min="10" max="10" width="11.5" customWidth="1"/>
    <col min="11" max="11" width="12.375" customWidth="1"/>
    <col min="12" max="12" width="12" customWidth="1"/>
  </cols>
  <sheetData>
    <row r="1" spans="1:12" ht="23.25">
      <c r="A1" s="23" t="s">
        <v>131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30">
      <c r="A3" s="2" t="s">
        <v>132</v>
      </c>
      <c r="B3" s="2" t="s">
        <v>27</v>
      </c>
      <c r="C3" s="2" t="s">
        <v>133</v>
      </c>
      <c r="D3" s="2" t="s">
        <v>134</v>
      </c>
      <c r="E3" s="2" t="s">
        <v>135</v>
      </c>
      <c r="F3" s="2" t="s">
        <v>136</v>
      </c>
      <c r="G3" s="2" t="s">
        <v>137</v>
      </c>
      <c r="H3" s="2" t="s">
        <v>138</v>
      </c>
      <c r="I3" s="2" t="s">
        <v>31</v>
      </c>
      <c r="J3" s="2" t="s">
        <v>32</v>
      </c>
      <c r="K3" s="2" t="s">
        <v>33</v>
      </c>
      <c r="L3" s="2" t="s">
        <v>49</v>
      </c>
    </row>
  </sheetData>
  <mergeCells count="1">
    <mergeCell ref="A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"/>
  <sheetViews>
    <sheetView workbookViewId="0">
      <selection sqref="A1:Q1"/>
    </sheetView>
  </sheetViews>
  <sheetFormatPr baseColWidth="10" defaultColWidth="9" defaultRowHeight="14.25"/>
  <cols>
    <col min="1" max="1" width="51.875" customWidth="1"/>
    <col min="2" max="2" width="7.75" customWidth="1"/>
    <col min="3" max="3" width="6.375" customWidth="1"/>
    <col min="4" max="4" width="5.875" customWidth="1"/>
    <col min="5" max="5" width="7.625" customWidth="1"/>
    <col min="6" max="6" width="5.625" customWidth="1"/>
    <col min="7" max="7" width="10.875" customWidth="1"/>
    <col min="8" max="8" width="19.125" customWidth="1"/>
    <col min="9" max="9" width="21.25" customWidth="1"/>
    <col min="10" max="10" width="12.75" customWidth="1"/>
    <col min="11" max="11" width="11.125" customWidth="1"/>
    <col min="12" max="12" width="9.125" customWidth="1"/>
    <col min="13" max="13" width="11.5" customWidth="1"/>
    <col min="14" max="14" width="19.75" customWidth="1"/>
    <col min="15" max="15" width="12" customWidth="1"/>
    <col min="16" max="16" width="16.375" customWidth="1"/>
    <col min="17" max="17" width="5.75" customWidth="1"/>
  </cols>
  <sheetData>
    <row r="1" spans="1:17" ht="23.25">
      <c r="A1" s="23" t="s">
        <v>139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>
      <c r="A3" s="2" t="s">
        <v>27</v>
      </c>
      <c r="B3" s="2" t="s">
        <v>133</v>
      </c>
      <c r="C3" s="2" t="s">
        <v>134</v>
      </c>
      <c r="D3" s="2" t="s">
        <v>135</v>
      </c>
      <c r="E3" s="2" t="s">
        <v>140</v>
      </c>
      <c r="F3" s="2" t="s">
        <v>136</v>
      </c>
      <c r="G3" s="2" t="s">
        <v>137</v>
      </c>
      <c r="H3" s="2" t="s">
        <v>141</v>
      </c>
      <c r="I3" s="2" t="s">
        <v>142</v>
      </c>
      <c r="J3" s="2" t="s">
        <v>138</v>
      </c>
      <c r="K3" s="2" t="s">
        <v>143</v>
      </c>
      <c r="L3" s="2" t="s">
        <v>31</v>
      </c>
      <c r="M3" s="2" t="s">
        <v>32</v>
      </c>
      <c r="N3" s="2" t="s">
        <v>144</v>
      </c>
      <c r="O3" s="2" t="s">
        <v>49</v>
      </c>
      <c r="P3" s="2" t="s">
        <v>145</v>
      </c>
      <c r="Q3" s="2" t="s">
        <v>38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Datos Graficas</vt:lpstr>
      <vt:lpstr>Promedios Mensuales</vt:lpstr>
      <vt:lpstr>Explicación Gráficas</vt:lpstr>
      <vt:lpstr>Gestión por Ciudad</vt:lpstr>
      <vt:lpstr>Ranking Demoras</vt:lpstr>
      <vt:lpstr>Detalle Registros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Camilo Carreno</cp:lastModifiedBy>
  <dcterms:modified xsi:type="dcterms:W3CDTF">2026-08-11T20:57:33Z</dcterms:modified>
</cp:coreProperties>
</file>